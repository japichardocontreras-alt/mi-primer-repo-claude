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genda" sheetId="2" state="visible" r:id="rId2"/>
    <sheet name="Costos" sheetId="3" state="visible" r:id="rId3"/>
    <sheet name="Unidades" sheetId="4" state="visible" r:id="rId4"/>
    <sheet name="Flujo" sheetId="5" state="visible" r:id="rId5"/>
    <sheet name="Gastos Fijos" sheetId="6" state="visible" r:id="rId6"/>
    <sheet name="Clientes" sheetId="7" state="visible" r:id="rId7"/>
    <sheet name="Mantenimiento" sheetId="8" state="visible" r:id="rId8"/>
    <sheet name="Instruc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$&quot;#,##0"/>
    <numFmt numFmtId="165" formatCode="0.0&quot;%&quot;"/>
    <numFmt numFmtId="166" formatCode="&quot;$&quot;#,##0.00"/>
    <numFmt numFmtId="167" formatCode="DD/MM/YYYY"/>
    <numFmt numFmtId="168" formatCode="HH:MM"/>
    <numFmt numFmtId="169" formatCode="#,##0.0"/>
    <numFmt numFmtId="170" formatCode="0.0&quot; hrs&quot;"/>
    <numFmt numFmtId="171" formatCode="#,##0.0&quot; km&quot;"/>
    <numFmt numFmtId="172" formatCode="#,##0&quot; km&quot;"/>
    <numFmt numFmtId="173" formatCode="0.0&quot; sv/sem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A3C5E"/>
      <sz val="18"/>
    </font>
    <font>
      <name val="Calibri"/>
      <b val="1"/>
      <color rgb="00F39C12"/>
      <sz val="18"/>
    </font>
    <font>
      <name val="Calibri"/>
      <b val="1"/>
      <color rgb="001E6B3C"/>
      <sz val="18"/>
    </font>
    <font>
      <name val="Calibri"/>
      <b val="1"/>
      <color rgb="00922B21"/>
      <sz val="18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b val="1"/>
      <color rgb="00000000"/>
      <sz val="10"/>
    </font>
    <font>
      <name val="Calibri"/>
      <b val="1"/>
      <color rgb="001E6B3C"/>
      <sz val="10"/>
    </font>
    <font>
      <name val="Calibri"/>
      <color rgb="00F39C12"/>
      <sz val="10"/>
    </font>
    <font>
      <name val="Calibri"/>
      <color rgb="00922B21"/>
      <sz val="10"/>
    </font>
    <font>
      <name val="Calibri"/>
      <b val="1"/>
      <color rgb="00922B21"/>
      <sz val="12"/>
    </font>
    <font>
      <name val="Calibri"/>
      <b val="1"/>
      <color rgb="001E6B3C"/>
      <sz val="16"/>
    </font>
    <font>
      <name val="Calibri"/>
      <b val="1"/>
      <color rgb="00FFFFFF"/>
      <sz val="14"/>
    </font>
    <font>
      <name val="Calibri"/>
      <b val="1"/>
      <color rgb="001A3C5E"/>
      <sz val="10"/>
    </font>
    <font>
      <name val="Calibri"/>
      <color rgb="002C3E50"/>
      <sz val="10"/>
    </font>
    <font>
      <name val="Calibri"/>
      <color rgb="001A3C5E"/>
      <sz val="10"/>
    </font>
    <font>
      <name val="Calibri"/>
      <b val="1"/>
      <color rgb="00922B21"/>
      <sz val="10"/>
    </font>
    <font>
      <name val="Calibri"/>
      <b val="1"/>
      <color rgb="00F39C12"/>
      <sz val="10"/>
    </font>
    <font>
      <name val="Calibri"/>
      <i val="1"/>
      <color rgb="007F8C8D"/>
      <sz val="10"/>
    </font>
    <font>
      <name val="Calibri"/>
      <color rgb="001E6B3C"/>
      <sz val="10"/>
    </font>
    <font>
      <name val="Calibri"/>
      <color rgb="00000000"/>
      <sz val="10"/>
    </font>
    <font>
      <name val="Calibri"/>
      <color rgb="007F8C8D"/>
      <sz val="10"/>
    </font>
    <font>
      <name val="Calibri"/>
      <b val="1"/>
      <color rgb="007F8C8D"/>
      <sz val="10"/>
    </font>
  </fonts>
  <fills count="1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F39C12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1E6B3C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7F8C8D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medium">
        <color rgb="002E6DA4"/>
      </left>
      <right style="medium">
        <color rgb="002E6DA4"/>
      </right>
      <top style="medium">
        <color rgb="002E6DA4"/>
      </top>
      <bottom style="medium">
        <color rgb="002E6DA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164" fontId="7" fillId="12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6" fontId="11" fillId="7" borderId="2" applyAlignment="1" pivotButton="0" quotePrefix="0" xfId="0">
      <alignment horizontal="right" vertical="center"/>
    </xf>
    <xf numFmtId="166" fontId="12" fillId="7" borderId="2" applyAlignment="1" pivotButton="0" quotePrefix="0" xfId="0">
      <alignment horizontal="right" vertical="center"/>
    </xf>
    <xf numFmtId="165" fontId="10" fillId="7" borderId="2" applyAlignment="1" pivotButton="0" quotePrefix="0" xfId="0">
      <alignment horizontal="right" vertical="center"/>
    </xf>
    <xf numFmtId="166" fontId="13" fillId="7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166" fontId="11" fillId="9" borderId="2" applyAlignment="1" pivotButton="0" quotePrefix="0" xfId="0">
      <alignment horizontal="right" vertical="center"/>
    </xf>
    <xf numFmtId="166" fontId="12" fillId="9" borderId="2" applyAlignment="1" pivotButton="0" quotePrefix="0" xfId="0">
      <alignment horizontal="right" vertical="center"/>
    </xf>
    <xf numFmtId="165" fontId="10" fillId="9" borderId="2" applyAlignment="1" pivotButton="0" quotePrefix="0" xfId="0">
      <alignment horizontal="right" vertical="center"/>
    </xf>
    <xf numFmtId="166" fontId="13" fillId="9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166" fontId="11" fillId="5" borderId="2" applyAlignment="1" pivotButton="0" quotePrefix="0" xfId="0">
      <alignment horizontal="right" vertical="center"/>
    </xf>
    <xf numFmtId="166" fontId="12" fillId="5" borderId="2" applyAlignment="1" pivotButton="0" quotePrefix="0" xfId="0">
      <alignment horizontal="right" vertical="center"/>
    </xf>
    <xf numFmtId="165" fontId="10" fillId="5" borderId="2" applyAlignment="1" pivotButton="0" quotePrefix="0" xfId="0">
      <alignment horizontal="right" vertical="center"/>
    </xf>
    <xf numFmtId="166" fontId="13" fillId="5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166" fontId="11" fillId="13" borderId="2" applyAlignment="1" pivotButton="0" quotePrefix="0" xfId="0">
      <alignment horizontal="right" vertical="center"/>
    </xf>
    <xf numFmtId="166" fontId="12" fillId="13" borderId="2" applyAlignment="1" pivotButton="0" quotePrefix="0" xfId="0">
      <alignment horizontal="right" vertical="center"/>
    </xf>
    <xf numFmtId="165" fontId="10" fillId="13" borderId="2" applyAlignment="1" pivotButton="0" quotePrefix="0" xfId="0">
      <alignment horizontal="right" vertical="center"/>
    </xf>
    <xf numFmtId="166" fontId="13" fillId="13" borderId="2" applyAlignment="1" pivotButton="0" quotePrefix="0" xfId="0">
      <alignment horizontal="right" vertical="center"/>
    </xf>
    <xf numFmtId="165" fontId="6" fillId="9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 wrapText="1"/>
    </xf>
    <xf numFmtId="166" fontId="13" fillId="12" borderId="2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/>
    </xf>
    <xf numFmtId="167" fontId="18" fillId="14" borderId="2" applyAlignment="1" pivotButton="0" quotePrefix="0" xfId="0">
      <alignment horizontal="center" vertical="center"/>
    </xf>
    <xf numFmtId="167" fontId="0" fillId="14" borderId="2" applyAlignment="1" pivotButton="0" quotePrefix="0" xfId="0">
      <alignment horizontal="center" vertical="center"/>
    </xf>
    <xf numFmtId="168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/>
    </xf>
    <xf numFmtId="0" fontId="0" fillId="14" borderId="2" applyAlignment="1" pivotButton="0" quotePrefix="0" xfId="0">
      <alignment horizontal="center" vertical="center"/>
    </xf>
    <xf numFmtId="169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 wrapText="1"/>
    </xf>
    <xf numFmtId="166" fontId="0" fillId="14" borderId="2" applyAlignment="1" pivotButton="0" quotePrefix="0" xfId="0">
      <alignment horizontal="right" vertical="center"/>
    </xf>
    <xf numFmtId="166" fontId="9" fillId="7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center" vertical="center"/>
    </xf>
    <xf numFmtId="170" fontId="0" fillId="14" borderId="2" applyAlignment="1" pivotButton="0" quotePrefix="0" xfId="0">
      <alignment horizontal="center" vertical="center"/>
    </xf>
    <xf numFmtId="170" fontId="19" fillId="5" borderId="2" applyAlignment="1" pivotButton="0" quotePrefix="0" xfId="0">
      <alignment horizontal="center" vertical="center"/>
    </xf>
    <xf numFmtId="167" fontId="18" fillId="13" borderId="2" applyAlignment="1" pivotButton="0" quotePrefix="0" xfId="0">
      <alignment horizontal="center" vertical="center"/>
    </xf>
    <xf numFmtId="167" fontId="0" fillId="13" borderId="2" applyAlignment="1" pivotButton="0" quotePrefix="0" xfId="0">
      <alignment horizontal="center" vertical="center"/>
    </xf>
    <xf numFmtId="168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center" vertical="center"/>
    </xf>
    <xf numFmtId="169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 wrapText="1"/>
    </xf>
    <xf numFmtId="166" fontId="0" fillId="13" borderId="2" applyAlignment="1" pivotButton="0" quotePrefix="0" xfId="0">
      <alignment horizontal="right" vertical="center"/>
    </xf>
    <xf numFmtId="170" fontId="0" fillId="13" borderId="2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169" fontId="0" fillId="14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6" fontId="20" fillId="12" borderId="2" applyAlignment="1" pivotButton="0" quotePrefix="0" xfId="0">
      <alignment horizontal="right" vertical="center"/>
    </xf>
    <xf numFmtId="165" fontId="0" fillId="14" borderId="2" applyAlignment="1" pivotButton="0" quotePrefix="0" xfId="0">
      <alignment horizontal="right" vertical="center"/>
    </xf>
    <xf numFmtId="169" fontId="0" fillId="13" borderId="2" applyAlignment="1" pivotButton="0" quotePrefix="0" xfId="0">
      <alignment horizontal="right" vertical="center"/>
    </xf>
    <xf numFmtId="165" fontId="0" fillId="13" borderId="2" applyAlignment="1" pivotButton="0" quotePrefix="0" xfId="0">
      <alignment horizontal="right" vertical="center"/>
    </xf>
    <xf numFmtId="0" fontId="1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71" fontId="0" fillId="13" borderId="2" applyAlignment="1" pivotButton="0" quotePrefix="0" xfId="0">
      <alignment horizontal="right" vertical="center"/>
    </xf>
    <xf numFmtId="166" fontId="21" fillId="7" borderId="2" applyAlignment="1" pivotButton="0" quotePrefix="0" xfId="0">
      <alignment horizontal="right" vertical="center"/>
    </xf>
    <xf numFmtId="0" fontId="10" fillId="14" borderId="2" applyAlignment="1" pivotButton="0" quotePrefix="0" xfId="0">
      <alignment horizontal="center" vertical="center"/>
    </xf>
    <xf numFmtId="166" fontId="11" fillId="14" borderId="2" applyAlignment="1" pivotButton="0" quotePrefix="0" xfId="0">
      <alignment horizontal="right" vertical="center"/>
    </xf>
    <xf numFmtId="166" fontId="13" fillId="14" borderId="2" applyAlignment="1" pivotButton="0" quotePrefix="0" xfId="0">
      <alignment horizontal="right" vertical="center"/>
    </xf>
    <xf numFmtId="171" fontId="0" fillId="14" borderId="2" applyAlignment="1" pivotButton="0" quotePrefix="0" xfId="0">
      <alignment horizontal="right" vertical="center"/>
    </xf>
    <xf numFmtId="165" fontId="10" fillId="14" borderId="2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right" vertical="center"/>
    </xf>
    <xf numFmtId="171" fontId="8" fillId="4" borderId="2" applyAlignment="1" pivotButton="0" quotePrefix="0" xfId="0">
      <alignment horizontal="right" vertical="center"/>
    </xf>
    <xf numFmtId="0" fontId="0" fillId="0" borderId="2" pivotButton="0" quotePrefix="0" xfId="0"/>
    <xf numFmtId="0" fontId="8" fillId="4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/>
    </xf>
    <xf numFmtId="0" fontId="0" fillId="14" borderId="2" pivotButton="0" quotePrefix="0" xfId="0"/>
    <xf numFmtId="0" fontId="0" fillId="13" borderId="2" pivotButton="0" quotePrefix="0" xfId="0"/>
    <xf numFmtId="172" fontId="0" fillId="14" borderId="2" applyAlignment="1" pivotButton="0" quotePrefix="0" xfId="0">
      <alignment horizontal="center" vertical="center"/>
    </xf>
    <xf numFmtId="172" fontId="0" fillId="13" borderId="2" applyAlignment="1" pivotButton="0" quotePrefix="0" xfId="0">
      <alignment horizontal="center" vertical="center"/>
    </xf>
    <xf numFmtId="172" fontId="19" fillId="5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2" fillId="13" borderId="2" applyAlignment="1" pivotButton="0" quotePrefix="0" xfId="0">
      <alignment horizontal="center" vertical="center"/>
    </xf>
    <xf numFmtId="0" fontId="22" fillId="14" borderId="2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19" fillId="5" borderId="2" applyAlignment="1" pivotButton="0" quotePrefix="0" xfId="0">
      <alignment horizontal="right" vertical="center"/>
    </xf>
    <xf numFmtId="166" fontId="19" fillId="5" borderId="2" applyAlignment="1" pivotButton="0" quotePrefix="0" xfId="0">
      <alignment horizontal="right" vertical="center"/>
    </xf>
    <xf numFmtId="166" fontId="18" fillId="13" borderId="2" applyAlignment="1" pivotButton="0" quotePrefix="0" xfId="0">
      <alignment horizontal="right" vertical="center"/>
    </xf>
    <xf numFmtId="166" fontId="23" fillId="9" borderId="2" applyAlignment="1" pivotButton="0" quotePrefix="0" xfId="0">
      <alignment horizontal="right" vertical="center"/>
    </xf>
    <xf numFmtId="165" fontId="19" fillId="5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 wrapText="1"/>
    </xf>
    <xf numFmtId="3" fontId="18" fillId="13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3" fontId="23" fillId="9" borderId="2" applyAlignment="1" pivotButton="0" quotePrefix="0" xfId="0">
      <alignment horizontal="right" vertical="center"/>
    </xf>
    <xf numFmtId="3" fontId="13" fillId="12" borderId="2" applyAlignment="1" pivotButton="0" quotePrefix="0" xfId="0">
      <alignment horizontal="right" vertical="center"/>
    </xf>
    <xf numFmtId="173" fontId="18" fillId="13" borderId="2" applyAlignment="1" pivotButton="0" quotePrefix="0" xfId="0">
      <alignment horizontal="right" vertical="center"/>
    </xf>
    <xf numFmtId="0" fontId="0" fillId="5" borderId="2" pivotButton="0" quotePrefix="0" xfId="0"/>
    <xf numFmtId="0" fontId="17" fillId="5" borderId="2" applyAlignment="1" pivotButton="0" quotePrefix="0" xfId="0">
      <alignment horizontal="left" vertical="center"/>
    </xf>
    <xf numFmtId="166" fontId="0" fillId="5" borderId="2" applyAlignment="1" pivotButton="0" quotePrefix="0" xfId="0">
      <alignment horizontal="right" vertical="center"/>
    </xf>
    <xf numFmtId="166" fontId="0" fillId="9" borderId="2" applyAlignment="1" pivotButton="0" quotePrefix="0" xfId="0">
      <alignment horizontal="right" vertical="center"/>
    </xf>
    <xf numFmtId="166" fontId="0" fillId="12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left" vertical="center"/>
    </xf>
    <xf numFmtId="0" fontId="23" fillId="9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left" vertical="center"/>
    </xf>
    <xf numFmtId="166" fontId="17" fillId="5" borderId="2" applyAlignment="1" pivotButton="0" quotePrefix="0" xfId="0">
      <alignment horizontal="right" vertical="center"/>
    </xf>
    <xf numFmtId="0" fontId="24" fillId="14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8" fillId="14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166" fontId="2" fillId="11" borderId="2" applyAlignment="1" pivotButton="0" quotePrefix="0" xfId="0">
      <alignment horizontal="right" vertical="center"/>
    </xf>
    <xf numFmtId="166" fontId="8" fillId="11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right" vertical="center"/>
    </xf>
    <xf numFmtId="0" fontId="0" fillId="9" borderId="2" pivotButton="0" quotePrefix="0" xfId="0"/>
    <xf numFmtId="0" fontId="0" fillId="12" borderId="2" pivotButton="0" quotePrefix="0" xfId="0"/>
    <xf numFmtId="0" fontId="0" fillId="7" borderId="2" pivotButton="0" quotePrefix="0" xfId="0"/>
    <xf numFmtId="0" fontId="19" fillId="5" borderId="2" applyAlignment="1" pivotButton="0" quotePrefix="0" xfId="0">
      <alignment horizontal="left" vertical="center"/>
    </xf>
    <xf numFmtId="165" fontId="17" fillId="5" borderId="2" applyAlignment="1" pivotButton="0" quotePrefix="0" xfId="0">
      <alignment horizontal="right" vertical="center"/>
    </xf>
    <xf numFmtId="0" fontId="25" fillId="13" borderId="2" applyAlignment="1" pivotButton="0" quotePrefix="0" xfId="0">
      <alignment horizontal="left" vertical="center"/>
    </xf>
    <xf numFmtId="166" fontId="26" fillId="13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17" fillId="5" borderId="2" applyAlignment="1" pivotButton="0" quotePrefix="0" xfId="0">
      <alignment horizontal="right" vertical="center"/>
    </xf>
    <xf numFmtId="3" fontId="11" fillId="9" borderId="2" applyAlignment="1" pivotButton="0" quotePrefix="0" xfId="0">
      <alignment horizontal="right" vertical="center"/>
    </xf>
    <xf numFmtId="3" fontId="20" fillId="12" borderId="2" applyAlignment="1" pivotButton="0" quotePrefix="0" xfId="0">
      <alignment horizontal="right" vertical="center"/>
    </xf>
    <xf numFmtId="3" fontId="9" fillId="13" borderId="2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172" fontId="0" fillId="14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left" vertical="center"/>
    </xf>
    <xf numFmtId="172" fontId="0" fillId="13" borderId="2" applyAlignment="1" pivotButton="0" quotePrefix="0" xfId="0">
      <alignment horizontal="right" vertical="center"/>
    </xf>
    <xf numFmtId="167" fontId="19" fillId="5" borderId="2" applyAlignment="1" pivotButton="0" quotePrefix="0" xfId="0">
      <alignment horizontal="right" vertical="center"/>
    </xf>
    <xf numFmtId="0" fontId="0" fillId="3" borderId="2" pivotButton="0" quotePrefix="0" xfId="0"/>
    <xf numFmtId="0" fontId="0" fillId="2" borderId="2" pivotButton="0" quotePrefix="0" xfId="0"/>
    <xf numFmtId="0" fontId="2" fillId="2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left" vertical="center"/>
    </xf>
    <xf numFmtId="0" fontId="24" fillId="7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1E6B3C"/>
      </font>
      <fill>
        <patternFill patternType="solid">
          <fgColor rgb="00D5F5E3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F39C12"/>
      </font>
      <fill>
        <patternFill patternType="solid">
          <fgColor rgb="00FEF9E7"/>
        </patternFill>
      </fill>
    </dxf>
    <dxf>
      <font>
        <b val="1"/>
        <color rgb="002E6DA4"/>
      </font>
      <fill>
        <patternFill patternType="solid">
          <f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5" customHeight="1">
      <c r="A1" s="1" t="inlineStr">
        <is>
          <t>MUDANZAS METEPEC — DASHBOARD OPERATIVO</t>
        </is>
      </c>
    </row>
    <row r="2" ht="22" customHeight="1">
      <c r="A2" s="2">
        <f>"Actualizado: "&amp;TEXT(TODAY(),"DD/MM/YYYY")</f>
        <v/>
      </c>
    </row>
    <row r="4" ht="22" customHeight="1">
      <c r="B4" s="3" t="inlineStr">
        <is>
          <t>SERVICIOS</t>
        </is>
      </c>
    </row>
    <row r="5" ht="45" customHeight="1">
      <c r="B5" s="4" t="inlineStr">
        <is>
          <t>Servicios HOY</t>
        </is>
      </c>
      <c r="D5" s="5" t="inlineStr">
        <is>
          <t>Esta SEMANA</t>
        </is>
      </c>
      <c r="F5" s="4" t="inlineStr">
        <is>
          <t>Este MES</t>
        </is>
      </c>
      <c r="H5" s="6" t="inlineStr">
        <is>
          <t>PENDIENTES</t>
        </is>
      </c>
      <c r="J5" s="7" t="inlineStr">
        <is>
          <t>CONFIRMADOS</t>
        </is>
      </c>
      <c r="L5" s="8" t="inlineStr">
        <is>
          <t>TERMINADOS mes</t>
        </is>
      </c>
    </row>
    <row r="6" ht="40" customHeight="1">
      <c r="B6" s="9">
        <f>COUNTIF(Agenda!C:C,TODAY())</f>
        <v/>
      </c>
      <c r="D6" s="9">
        <f>COUNTIFS(Agenda!C:C,"&gt;="&amp;TODAY()-WEEKDAY(TODAY(),2)+1,Agenda!C:C,"&lt;="&amp;TODAY()-WEEKDAY(TODAY(),2)+7)</f>
        <v/>
      </c>
      <c r="F6" s="9">
        <f>COUNTIFS(Agenda!C:C,"&gt;="&amp;DATE(YEAR(TODAY()),MONTH(TODAY()),1),Agenda!C:C,"&lt;="&amp;EOMONTH(TODAY(),0))</f>
        <v/>
      </c>
      <c r="H6" s="10">
        <f>COUNTIF(Agenda!Q:Q,"Pendiente")</f>
        <v/>
      </c>
      <c r="J6" s="11">
        <f>COUNTIF(Agenda!Q:Q,"Confirmado")</f>
        <v/>
      </c>
      <c r="L6" s="11">
        <f>COUNTIFS(Agenda!Q:Q,"Terminado",Agenda!C:C,"&gt;="&amp;DATE(YEAR(TODAY()),MONTH(TODAY()),1))</f>
        <v/>
      </c>
    </row>
    <row r="7" ht="12" customHeight="1"/>
    <row r="8" ht="22" customHeight="1">
      <c r="B8" s="12" t="inlineStr">
        <is>
          <t>FINANZAS DEL MES</t>
        </is>
      </c>
    </row>
    <row r="9">
      <c r="B9" s="8" t="inlineStr">
        <is>
          <t>VENTAS MES</t>
        </is>
      </c>
      <c r="D9" s="13" t="inlineStr">
        <is>
          <t>COSTOS MES</t>
        </is>
      </c>
      <c r="F9" s="8" t="inlineStr">
        <is>
          <t>UTILIDAD MES</t>
        </is>
      </c>
      <c r="H9" s="13" t="inlineStr">
        <is>
          <t>GASTOS FIJOS</t>
        </is>
      </c>
      <c r="J9" s="4" t="inlineStr">
        <is>
          <t>FLUJO NETO</t>
        </is>
      </c>
      <c r="L9" s="5" t="inlineStr">
        <is>
          <t>MARGEN PROM %</t>
        </is>
      </c>
    </row>
    <row r="10" ht="40" customHeight="1">
      <c r="B10" s="14">
        <f>IFERROR(SUMIFS(Agenda!N:N,Agenda!C:C,"&gt;="&amp;DATE(YEAR(TODAY()),MONTH(TODAY()),1),Agenda!C:C,"&lt;="&amp;EOMONTH(TODAY(),0)),0)</f>
        <v/>
      </c>
      <c r="D10" s="15">
        <f>IFERROR(SUMIFS(Costos!P:P,Costos!P:P,"&gt;"&amp;0),0)</f>
        <v/>
      </c>
      <c r="F10" s="14">
        <f>IFERROR(SUMIFS(Agenda!N:N,Agenda!C:C,"&gt;="&amp;DATE(YEAR(TODAY()),MONTH(TODAY()),1),Agenda!C:C,"&lt;="&amp;EOMONTH(TODAY(),0))-SUMIF(Costos!P:P,"&gt;"&amp;0,Costos!P:P),0)</f>
        <v/>
      </c>
      <c r="H10" s="15">
        <f>IFERROR('Gastos Fijos'!B11,0)</f>
        <v/>
      </c>
      <c r="J10" s="16">
        <f>IFERROR(SUM(Flujo!C4:C504)-SUM(Flujo!D4:D504),0)</f>
        <v/>
      </c>
      <c r="L10" s="17">
        <f>IFERROR(AVERAGE(Costos!S4:S203),0)</f>
        <v/>
      </c>
    </row>
    <row r="11" ht="12" customHeight="1"/>
    <row r="12" ht="22" customHeight="1">
      <c r="B12" s="18" t="inlineStr">
        <is>
          <t>VENTAS POR UNIDAD — MES ACTUAL</t>
        </is>
      </c>
    </row>
    <row r="13" ht="26" customHeight="1">
      <c r="B13" s="19" t="inlineStr">
        <is>
          <t>UNIDAD</t>
        </is>
      </c>
      <c r="C13" s="19" t="inlineStr">
        <is>
          <t>SERVICIOS</t>
        </is>
      </c>
      <c r="D13" s="19" t="inlineStr">
        <is>
          <t>VENTAS $</t>
        </is>
      </c>
      <c r="E13" s="19" t="inlineStr">
        <is>
          <t>META MES $</t>
        </is>
      </c>
      <c r="F13" s="19" t="inlineStr">
        <is>
          <t>CUMP %</t>
        </is>
      </c>
      <c r="G13" s="19" t="inlineStr">
        <is>
          <t>FALTA $</t>
        </is>
      </c>
      <c r="H13" s="19" t="inlineStr">
        <is>
          <t>UTILIDAD $</t>
        </is>
      </c>
    </row>
    <row r="14" ht="22" customHeight="1">
      <c r="B14" s="20" t="inlineStr">
        <is>
          <t>Pick Up</t>
        </is>
      </c>
      <c r="C14" s="21">
        <f>COUNTIFS(Agenda!K:K,"Pick Up",Agenda!C:C,"&gt;="&amp;DATE(YEAR(TODAY()),MONTH(TODAY()),1),Agenda!C:C,"&lt;="&amp;EOMONTH(TODAY(),0))</f>
        <v/>
      </c>
      <c r="D14" s="22">
        <f>SUMIFS(Agenda!N:N,Agenda!K:K,"Pick Up",Agenda!C:C,"&gt;="&amp;DATE(YEAR(TODAY()),MONTH(TODAY()),1),Agenda!C:C,"&lt;="&amp;EOMONTH(TODAY(),0))</f>
        <v/>
      </c>
      <c r="E14" s="23" t="n">
        <v>24250</v>
      </c>
      <c r="F14" s="24">
        <f>IF(E14&gt;0,D14/E14*100,0)</f>
        <v/>
      </c>
      <c r="G14" s="25">
        <f>MAX(0,E14-D14)</f>
        <v/>
      </c>
      <c r="H14" s="22">
        <f>SUMIF(Costos!C:C,"Pick Up",Costos!R:R)</f>
        <v/>
      </c>
    </row>
    <row r="15" ht="22" customHeight="1">
      <c r="B15" s="26" t="inlineStr">
        <is>
          <t>1.5 Cerrada</t>
        </is>
      </c>
      <c r="C15" s="27">
        <f>COUNTIFS(Agenda!K:K,"1.5 Cerrada",Agenda!C:C,"&gt;="&amp;DATE(YEAR(TODAY()),MONTH(TODAY()),1),Agenda!C:C,"&lt;="&amp;EOMONTH(TODAY(),0))</f>
        <v/>
      </c>
      <c r="D15" s="28">
        <f>SUMIFS(Agenda!N:N,Agenda!K:K,"1.5 Cerrada",Agenda!C:C,"&gt;="&amp;DATE(YEAR(TODAY()),MONTH(TODAY()),1),Agenda!C:C,"&lt;="&amp;EOMONTH(TODAY(),0))</f>
        <v/>
      </c>
      <c r="E15" s="29" t="n">
        <v>28450</v>
      </c>
      <c r="F15" s="30">
        <f>IF(E15&gt;0,D15/E15*100,0)</f>
        <v/>
      </c>
      <c r="G15" s="31">
        <f>MAX(0,E15-D15)</f>
        <v/>
      </c>
      <c r="H15" s="28">
        <f>SUMIF(Costos!C:C,"1.5 Cerrada",Costos!R:R)</f>
        <v/>
      </c>
    </row>
    <row r="16" ht="22" customHeight="1">
      <c r="B16" s="32" t="inlineStr">
        <is>
          <t>2.5</t>
        </is>
      </c>
      <c r="C16" s="33">
        <f>COUNTIFS(Agenda!K:K,"2.5",Agenda!C:C,"&gt;="&amp;DATE(YEAR(TODAY()),MONTH(TODAY()),1),Agenda!C:C,"&lt;="&amp;EOMONTH(TODAY(),0))</f>
        <v/>
      </c>
      <c r="D16" s="34">
        <f>SUMIFS(Agenda!N:N,Agenda!K:K,"2.5",Agenda!C:C,"&gt;="&amp;DATE(YEAR(TODAY()),MONTH(TODAY()),1),Agenda!C:C,"&lt;="&amp;EOMONTH(TODAY(),0))</f>
        <v/>
      </c>
      <c r="E16" s="35" t="n">
        <v>31250</v>
      </c>
      <c r="F16" s="36">
        <f>IF(E16&gt;0,D16/E16*100,0)</f>
        <v/>
      </c>
      <c r="G16" s="37">
        <f>MAX(0,E16-D16)</f>
        <v/>
      </c>
      <c r="H16" s="34">
        <f>SUMIF(Costos!C:C,"2.5",Costos!R:R)</f>
        <v/>
      </c>
    </row>
    <row r="17" ht="22" customHeight="1">
      <c r="B17" s="38" t="inlineStr">
        <is>
          <t>3.5</t>
        </is>
      </c>
      <c r="C17" s="39">
        <f>COUNTIFS(Agenda!K:K,"3.5",Agenda!C:C,"&gt;="&amp;DATE(YEAR(TODAY()),MONTH(TODAY()),1),Agenda!C:C,"&lt;="&amp;EOMONTH(TODAY(),0))</f>
        <v/>
      </c>
      <c r="D17" s="40">
        <f>SUMIFS(Agenda!N:N,Agenda!K:K,"3.5",Agenda!C:C,"&gt;="&amp;DATE(YEAR(TODAY()),MONTH(TODAY()),1),Agenda!C:C,"&lt;="&amp;EOMONTH(TODAY(),0))</f>
        <v/>
      </c>
      <c r="E17" s="41" t="n">
        <v>15250</v>
      </c>
      <c r="F17" s="42">
        <f>IF(E17&gt;0,D17/E17*100,0)</f>
        <v/>
      </c>
      <c r="G17" s="43">
        <f>MAX(0,E17-D17)</f>
        <v/>
      </c>
      <c r="H17" s="40">
        <f>SUMIF(Costos!C:C,"3.5",Costos!R:R)</f>
        <v/>
      </c>
    </row>
    <row r="19" ht="22" customHeight="1">
      <c r="B19" s="3" t="inlineStr">
        <is>
          <t>CRM — CONVERSIÓN DE CLIENTES</t>
        </is>
      </c>
    </row>
    <row r="20">
      <c r="B20" s="4" t="inlineStr">
        <is>
          <t>CONTACTOS</t>
        </is>
      </c>
      <c r="D20" s="5" t="inlineStr">
        <is>
          <t>COTIZACIONES</t>
        </is>
      </c>
      <c r="F20" s="7" t="inlineStr">
        <is>
          <t>CERRADOS</t>
        </is>
      </c>
      <c r="H20" s="8" t="inlineStr">
        <is>
          <t>TASA CIERRE</t>
        </is>
      </c>
      <c r="J20" s="6" t="inlineStr">
        <is>
          <t>RESEÑAS</t>
        </is>
      </c>
      <c r="L20" s="8" t="inlineStr">
        <is>
          <t>RECURRENTES</t>
        </is>
      </c>
    </row>
    <row r="21" ht="40" customHeight="1">
      <c r="B21" s="9">
        <f>COUNTA(Clientes!A4:A303)</f>
        <v/>
      </c>
      <c r="D21" s="9">
        <f>COUNTA(Clientes!F4:F303)</f>
        <v/>
      </c>
      <c r="F21" s="11">
        <f>COUNTIF(Clientes!G4:G303,"Sí")</f>
        <v/>
      </c>
      <c r="H21" s="44">
        <f>IF(COUNTA(Clientes!A4:A303)&gt;0,COUNTIF(Clientes!G4:G303,"Sí")/COUNTA(Clientes!A4:A303)*100,0)</f>
        <v/>
      </c>
      <c r="J21" s="10">
        <f>COUNTIF(Clientes!K4:K303,"Sí")</f>
        <v/>
      </c>
      <c r="L21" s="11">
        <f>COUNTIF(Clientes!L4:L303,"Sí")</f>
        <v/>
      </c>
    </row>
    <row r="22" ht="12" customHeight="1"/>
    <row r="23" ht="22" customHeight="1">
      <c r="B23" s="45" t="inlineStr">
        <is>
          <t>COBERTURA GASTOS FIJOS</t>
        </is>
      </c>
      <c r="H23" s="12" t="inlineStr">
        <is>
          <t>MEJOR UNIDAD DEL MES</t>
        </is>
      </c>
    </row>
    <row r="24" ht="38" customHeight="1">
      <c r="B24" s="46">
        <f>"Ventas: $"&amp;TEXT(IFERROR(SUM(Agenda!N:N),0),"#,##0")&amp;" / Meta: $"&amp;TEXT(IFERROR('Gastos Fijos'!B11,0),"#,##0")&amp;" ("&amp;TEXT(IFERROR(SUM(Agenda!N:N)/'Gastos Fijos'!B11*100,0),"0.0")&amp;"%)"</f>
        <v/>
      </c>
      <c r="H24" s="47">
        <f>IFERROR(INDEX({"Pick Up","1.5 Cerrada","2.5","3.5"},MATCH(MAX(SUMIF(Agenda!K:K,"Pick Up",Agenda!N:N),SUMIF(Agenda!K:K,"1.5 Cerrada",Agenda!N:N),SUMIF(Agenda!K:K,"2.5",Agenda!N:N),SUMIF(Agenda!K:K,"3.5",Agenda!N:N)),{SUMIF(Agenda!K:K,"Pick Up",Agenda!N:N),SUMIF(Agenda!K:K,"1.5 Cerrada",Agenda!N:N),SUMIF(Agenda!K:K,"2.5",Agenda!N:N),SUMIF(Agenda!K:K,"3.5",Agenda!N:N)},0)),"—")</f>
        <v/>
      </c>
    </row>
    <row r="26" ht="12" customHeight="1"/>
    <row r="27" ht="22" customHeight="1">
      <c r="B27" s="18" t="inlineStr">
        <is>
          <t>OPERACIÓN Y RENTABILIDAD</t>
        </is>
      </c>
    </row>
    <row r="28">
      <c r="B28" s="13" t="inlineStr">
        <is>
          <t>CANCELADOS mes</t>
        </is>
      </c>
      <c r="D28" s="6" t="inlineStr">
        <is>
          <t>EN PROCESO</t>
        </is>
      </c>
      <c r="F28" s="13" t="inlineStr">
        <is>
          <t>COSTO PROM./SV</t>
        </is>
      </c>
      <c r="H28" s="8" t="inlineStr">
        <is>
          <t>INGRESO PROM./SV</t>
        </is>
      </c>
      <c r="J28" s="13" t="inlineStr">
        <is>
          <t>COSTO MTO TOTAL</t>
        </is>
      </c>
      <c r="L28" s="7" t="inlineStr">
        <is>
          <t>UNIDAD MÁS OCUP.</t>
        </is>
      </c>
    </row>
    <row r="29" ht="40" customHeight="1">
      <c r="B29" s="48">
        <f>COUNTIFS(Agenda!Q:Q,"Cancelado",Agenda!C:C,"&gt;="&amp;DATE(YEAR(TODAY()),MONTH(TODAY()),1))</f>
        <v/>
      </c>
      <c r="D29" s="10">
        <f>COUNTIF(Agenda!Q:Q,"En proceso")</f>
        <v/>
      </c>
      <c r="F29" s="15">
        <f>IFERROR(SUM(Costos!P4:P203)/COUNTA(Costos!A4:A203),0)</f>
        <v/>
      </c>
      <c r="H29" s="14">
        <f>IFERROR(SUM(Agenda!N4:N203)/COUNTA(Agenda!E4:E203),0)</f>
        <v/>
      </c>
      <c r="J29" s="15">
        <f>IFERROR(SUM(Mantenimiento!F4:F303),0)</f>
        <v/>
      </c>
      <c r="L29" s="11">
        <f>IFERROR(INDEX({"Pick Up","1.5 Cerrada","2.5","3.5"},MATCH(MAX(COUNTIFS(Agenda!K:K,"Pick Up",Agenda!Q:Q,"Terminado"),COUNTIFS(Agenda!K:K,"1.5 Cerrada",Agenda!Q:Q,"Terminado"),COUNTIFS(Agenda!K:K,"2.5",Agenda!Q:Q,"Terminado"),COUNTIFS(Agenda!K:K,"3.5",Agenda!Q:Q,"Terminado")),{COUNTIFS(Agenda!K:K,"Pick Up",Agenda!Q:Q,"Terminado"),COUNTIFS(Agenda!K:K,"1.5 Cerrada",Agenda!Q:Q,"Terminado"),COUNTIFS(Agenda!K:K,"2.5",Agenda!Q:Q,"Terminado"),COUNTIFS(Agenda!K:K,"3.5",Agenda!Q:Q,"Terminado")},0)),"—")</f>
        <v/>
      </c>
    </row>
    <row r="30" ht="12" customHeight="1"/>
    <row r="31" ht="22" customHeight="1">
      <c r="B31" s="12" t="inlineStr">
        <is>
          <t>UTILIDAD Y RENTABILIDAD POR UNIDAD (ACUMULADO)</t>
        </is>
      </c>
    </row>
    <row r="32" ht="26" customHeight="1">
      <c r="B32" s="49" t="inlineStr">
        <is>
          <t>UNIDAD</t>
        </is>
      </c>
      <c r="C32" s="49" t="inlineStr">
        <is>
          <t>VENTAS $</t>
        </is>
      </c>
      <c r="D32" s="49" t="inlineStr">
        <is>
          <t>COSTOS $</t>
        </is>
      </c>
      <c r="E32" s="49" t="inlineStr">
        <is>
          <t>UTILIDAD $</t>
        </is>
      </c>
      <c r="F32" s="49" t="inlineStr">
        <is>
          <t>MARGEN %</t>
        </is>
      </c>
      <c r="G32" s="49" t="inlineStr">
        <is>
          <t>COSTO MTO $</t>
        </is>
      </c>
      <c r="H32" s="49" t="inlineStr">
        <is>
          <t>UTIL.NETA $</t>
        </is>
      </c>
    </row>
    <row r="33" ht="22" customHeight="1">
      <c r="B33" s="20" t="inlineStr">
        <is>
          <t>Pick Up</t>
        </is>
      </c>
      <c r="C33" s="22">
        <f>SUMIF(Agenda!K:K,"Pick Up",Agenda!N:N)</f>
        <v/>
      </c>
      <c r="D33" s="25">
        <f>SUMIF(Costos!C:C,"Pick Up",Costos!P:P)</f>
        <v/>
      </c>
      <c r="E33" s="28">
        <f>C33-D33</f>
        <v/>
      </c>
      <c r="F33" s="24">
        <f>IF(C33&gt;0,E33/C33*100,0)</f>
        <v/>
      </c>
      <c r="G33" s="50">
        <f>SUMIF(Mantenimiento!C:C,"Pick Up",Mantenimiento!F:F)</f>
        <v/>
      </c>
      <c r="H33" s="28">
        <f>E33-G33</f>
        <v/>
      </c>
    </row>
    <row r="34" ht="22" customHeight="1">
      <c r="B34" s="26" t="inlineStr">
        <is>
          <t>1.5 Cerrada</t>
        </is>
      </c>
      <c r="C34" s="28">
        <f>SUMIF(Agenda!K:K,"1.5 Cerrada",Agenda!N:N)</f>
        <v/>
      </c>
      <c r="D34" s="31">
        <f>SUMIF(Costos!C:C,"1.5 Cerrada",Costos!P:P)</f>
        <v/>
      </c>
      <c r="E34" s="28">
        <f>C34-D34</f>
        <v/>
      </c>
      <c r="F34" s="30">
        <f>IF(C34&gt;0,E34/C34*100,0)</f>
        <v/>
      </c>
      <c r="G34" s="50">
        <f>SUMIF(Mantenimiento!C:C,"1.5 Cerrada",Mantenimiento!F:F)</f>
        <v/>
      </c>
      <c r="H34" s="28">
        <f>E34-G34</f>
        <v/>
      </c>
    </row>
    <row r="35" ht="22" customHeight="1">
      <c r="B35" s="32" t="inlineStr">
        <is>
          <t>2.5</t>
        </is>
      </c>
      <c r="C35" s="34">
        <f>SUMIF(Agenda!K:K,"2.5",Agenda!N:N)</f>
        <v/>
      </c>
      <c r="D35" s="37">
        <f>SUMIF(Costos!C:C,"2.5",Costos!P:P)</f>
        <v/>
      </c>
      <c r="E35" s="28">
        <f>C35-D35</f>
        <v/>
      </c>
      <c r="F35" s="36">
        <f>IF(C35&gt;0,E35/C35*100,0)</f>
        <v/>
      </c>
      <c r="G35" s="50">
        <f>SUMIF(Mantenimiento!C:C,"2.5",Mantenimiento!F:F)</f>
        <v/>
      </c>
      <c r="H35" s="28">
        <f>E35-G35</f>
        <v/>
      </c>
    </row>
    <row r="36" ht="22" customHeight="1">
      <c r="B36" s="38" t="inlineStr">
        <is>
          <t>3.5</t>
        </is>
      </c>
      <c r="C36" s="40">
        <f>SUMIF(Agenda!K:K,"3.5",Agenda!N:N)</f>
        <v/>
      </c>
      <c r="D36" s="43">
        <f>SUMIF(Costos!C:C,"3.5",Costos!P:P)</f>
        <v/>
      </c>
      <c r="E36" s="28">
        <f>C36-D36</f>
        <v/>
      </c>
      <c r="F36" s="42">
        <f>IF(C36&gt;0,E36/C36*100,0)</f>
        <v/>
      </c>
      <c r="G36" s="50">
        <f>SUMIF(Mantenimiento!C:C,"3.5",Mantenimiento!F:F)</f>
        <v/>
      </c>
      <c r="H36" s="28">
        <f>E36-G36</f>
        <v/>
      </c>
    </row>
  </sheetData>
  <mergeCells count="60">
    <mergeCell ref="D20:E20"/>
    <mergeCell ref="D10:E10"/>
    <mergeCell ref="H20:I20"/>
    <mergeCell ref="J5:K5"/>
    <mergeCell ref="F10:G10"/>
    <mergeCell ref="F29:G29"/>
    <mergeCell ref="H10:I10"/>
    <mergeCell ref="H29:I29"/>
    <mergeCell ref="B23:G23"/>
    <mergeCell ref="J10:K10"/>
    <mergeCell ref="J29:K29"/>
    <mergeCell ref="B8:M8"/>
    <mergeCell ref="F6:G6"/>
    <mergeCell ref="J28:K28"/>
    <mergeCell ref="L28:M28"/>
    <mergeCell ref="H9:I9"/>
    <mergeCell ref="J9:K9"/>
    <mergeCell ref="D21:E21"/>
    <mergeCell ref="D6:E6"/>
    <mergeCell ref="A2:L2"/>
    <mergeCell ref="B21:C21"/>
    <mergeCell ref="F21:G21"/>
    <mergeCell ref="H21:I21"/>
    <mergeCell ref="H6:I6"/>
    <mergeCell ref="J6:K6"/>
    <mergeCell ref="B19:M19"/>
    <mergeCell ref="F5:G5"/>
    <mergeCell ref="F20:G20"/>
    <mergeCell ref="L5:M5"/>
    <mergeCell ref="B24:G24"/>
    <mergeCell ref="J20:K20"/>
    <mergeCell ref="B29:C29"/>
    <mergeCell ref="L29:M29"/>
    <mergeCell ref="L20:M20"/>
    <mergeCell ref="H24:M24"/>
    <mergeCell ref="L10:M10"/>
    <mergeCell ref="B10:C10"/>
    <mergeCell ref="B28:C28"/>
    <mergeCell ref="H23:M23"/>
    <mergeCell ref="D28:E28"/>
    <mergeCell ref="F28:G28"/>
    <mergeCell ref="H28:I28"/>
    <mergeCell ref="B9:C9"/>
    <mergeCell ref="D9:E9"/>
    <mergeCell ref="B4:M4"/>
    <mergeCell ref="F9:G9"/>
    <mergeCell ref="L9:M9"/>
    <mergeCell ref="B6:C6"/>
    <mergeCell ref="J21:K21"/>
    <mergeCell ref="L21:M21"/>
    <mergeCell ref="L6:M6"/>
    <mergeCell ref="B5:C5"/>
    <mergeCell ref="B20:C20"/>
    <mergeCell ref="A1:L1"/>
    <mergeCell ref="D5:E5"/>
    <mergeCell ref="D29:E29"/>
    <mergeCell ref="B31:M31"/>
    <mergeCell ref="H5:I5"/>
    <mergeCell ref="B27:M27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20" customWidth="1" min="5" max="5"/>
    <col width="13" customWidth="1" min="6" max="6"/>
    <col width="16" customWidth="1" min="7" max="7"/>
    <col width="20" customWidth="1" min="8" max="8"/>
    <col width="20" customWidth="1" min="9" max="9"/>
    <col width="9" customWidth="1" min="10" max="10"/>
    <col width="16" customWidth="1" min="11" max="11"/>
    <col width="22" customWidth="1" min="12" max="12"/>
    <col width="28" customWidth="1" min="13" max="13"/>
    <col width="11" customWidth="1" min="14" max="14"/>
    <col width="11" customWidth="1" min="15" max="15"/>
    <col width="11" customWidth="1" min="16" max="16"/>
    <col width="14" customWidth="1" min="17" max="17"/>
    <col width="13" customWidth="1" min="18" max="18"/>
    <col width="9" customWidth="1" min="19" max="19"/>
    <col width="10" customWidth="1" min="20" max="20"/>
    <col width="10" customWidth="1" min="21" max="21"/>
    <col width="30" customWidth="1" min="22" max="22"/>
    <col width="12" customWidth="1" min="23" max="23"/>
    <col width="11" customWidth="1" min="24" max="24"/>
    <col width="11" customWidth="1" min="25" max="25"/>
    <col width="12" customWidth="1" min="26" max="26"/>
    <col width="12" customWidth="1" min="27" max="27"/>
    <col width="11" customWidth="1" min="28" max="28"/>
    <col width="9" customWidth="1" min="29" max="29"/>
    <col width="9" customWidth="1" min="30" max="30"/>
    <col width="11" customWidth="1" min="31" max="31"/>
    <col width="11" customWidth="1" min="32" max="32"/>
    <col width="12" customWidth="1" min="33" max="33"/>
    <col width="16" customWidth="1" min="34" max="34"/>
    <col width="14" customWidth="1" min="35" max="35"/>
    <col width="30" customWidth="1" min="36" max="36"/>
    <col width="18" customWidth="1" min="37" max="37"/>
  </cols>
  <sheetData>
    <row r="1" ht="35" customHeight="1">
      <c r="A1" s="51" t="inlineStr">
        <is>
          <t>MUDANZAS METEPEC — AGENDA DE SERVICIOS</t>
        </is>
      </c>
    </row>
    <row r="2" ht="22" customHeight="1">
      <c r="A2" s="52" t="inlineStr">
        <is>
          <t>Registro de todos los servicios: WhatsApp → Cobro → Análisis</t>
        </is>
      </c>
    </row>
    <row r="3" ht="30" customHeight="1">
      <c r="A3" s="53" t="inlineStr">
        <is>
          <t>FOLIO</t>
        </is>
      </c>
      <c r="B3" s="53" t="inlineStr">
        <is>
          <t>F.REGISTRO</t>
        </is>
      </c>
      <c r="C3" s="53" t="inlineStr">
        <is>
          <t>F.SERVICIO</t>
        </is>
      </c>
      <c r="D3" s="53" t="inlineStr">
        <is>
          <t>HORA</t>
        </is>
      </c>
      <c r="E3" s="53" t="inlineStr">
        <is>
          <t>CLIENTE</t>
        </is>
      </c>
      <c r="F3" s="53" t="inlineStr">
        <is>
          <t>TELÉFONO</t>
        </is>
      </c>
      <c r="G3" s="53" t="inlineStr">
        <is>
          <t>TIPO</t>
        </is>
      </c>
      <c r="H3" s="53" t="inlineStr">
        <is>
          <t>ORIGEN</t>
        </is>
      </c>
      <c r="I3" s="53" t="inlineStr">
        <is>
          <t>DESTINO</t>
        </is>
      </c>
      <c r="J3" s="53" t="inlineStr">
        <is>
          <t>KM BASE</t>
        </is>
      </c>
      <c r="K3" s="53" t="inlineStr">
        <is>
          <t>UNIDAD</t>
        </is>
      </c>
      <c r="L3" s="53" t="inlineStr">
        <is>
          <t>PERSONAL</t>
        </is>
      </c>
      <c r="M3" s="53" t="inlineStr">
        <is>
          <t>DESCRIPCIÓN</t>
        </is>
      </c>
      <c r="N3" s="53" t="inlineStr">
        <is>
          <t>COTIZADO</t>
        </is>
      </c>
      <c r="O3" s="53" t="inlineStr">
        <is>
          <t>ANTICIPO</t>
        </is>
      </c>
      <c r="P3" s="53" t="inlineStr">
        <is>
          <t>SALDO</t>
        </is>
      </c>
      <c r="Q3" s="53" t="inlineStr">
        <is>
          <t>ESTADO</t>
        </is>
      </c>
      <c r="R3" s="53" t="inlineStr">
        <is>
          <t>PAGO</t>
        </is>
      </c>
      <c r="S3" s="53" t="inlineStr">
        <is>
          <t>FACTURA</t>
        </is>
      </c>
      <c r="T3" s="53" t="inlineStr">
        <is>
          <t>CANT.PERSONAS</t>
        </is>
      </c>
      <c r="U3" s="53" t="inlineStr">
        <is>
          <t>FOLIO COSTO</t>
        </is>
      </c>
      <c r="V3" s="53" t="inlineStr">
        <is>
          <t>OBSERVACIONES</t>
        </is>
      </c>
      <c r="W3" s="19" t="inlineStr">
        <is>
          <t>PRIORIDAD</t>
        </is>
      </c>
      <c r="X3" s="19" t="inlineStr">
        <is>
          <t>HORA SALIDA</t>
        </is>
      </c>
      <c r="Y3" s="19" t="inlineStr">
        <is>
          <t>HORA LLEGADA</t>
        </is>
      </c>
      <c r="Z3" s="19" t="inlineStr">
        <is>
          <t>HORA TÉRMINO</t>
        </is>
      </c>
      <c r="AA3" s="19" t="inlineStr">
        <is>
          <t>T.ESTIMADO hrs</t>
        </is>
      </c>
      <c r="AB3" s="19" t="inlineStr">
        <is>
          <t>T.REAL hrs</t>
        </is>
      </c>
      <c r="AC3" s="19" t="inlineStr">
        <is>
          <t>FOTOS</t>
        </is>
      </c>
      <c r="AD3" s="19" t="inlineStr">
        <is>
          <t>VIDEOS</t>
        </is>
      </c>
      <c r="AE3" s="19" t="inlineStr">
        <is>
          <t>RESEÑA SOL.</t>
        </is>
      </c>
      <c r="AF3" s="19" t="inlineStr">
        <is>
          <t>RESEÑA REC.</t>
        </is>
      </c>
      <c r="AG3" s="19" t="inlineStr">
        <is>
          <t>PERM.PUBLICAR</t>
        </is>
      </c>
      <c r="AH3" s="19" t="inlineStr">
        <is>
          <t>FUENTE</t>
        </is>
      </c>
      <c r="AI3" s="19" t="inlineStr">
        <is>
          <t>TIPO CLIENTE</t>
        </is>
      </c>
      <c r="AJ3" s="19" t="inlineStr">
        <is>
          <t>OBS.CLIENTE</t>
        </is>
      </c>
      <c r="AK3" s="19" t="inlineStr">
        <is>
          <t>CANCELACIÓN</t>
        </is>
      </c>
    </row>
    <row r="4" ht="18" customHeight="1">
      <c r="A4" s="54">
        <f>IF(E4&lt;&gt;"","MUD-"&amp;TEXT(ROW()-3,"000"),"")</f>
        <v/>
      </c>
      <c r="B4" s="55">
        <f>IF(E4&lt;&gt;"",TODAY(),"")</f>
        <v/>
      </c>
      <c r="C4" s="56" t="n"/>
      <c r="D4" s="57" t="n"/>
      <c r="E4" s="58" t="n"/>
      <c r="F4" s="58" t="n"/>
      <c r="G4" s="59" t="n"/>
      <c r="H4" s="58" t="n"/>
      <c r="I4" s="58" t="n"/>
      <c r="J4" s="60" t="n"/>
      <c r="K4" s="59" t="n"/>
      <c r="L4" s="61" t="n"/>
      <c r="M4" s="61" t="n"/>
      <c r="N4" s="62" t="n"/>
      <c r="O4" s="62" t="n"/>
      <c r="P4" s="63">
        <f>IF(N4&lt;&gt;"",N4-O4,"")</f>
        <v/>
      </c>
      <c r="Q4" s="59" t="n"/>
      <c r="R4" s="59" t="n"/>
      <c r="S4" s="59" t="n"/>
      <c r="T4" s="60" t="n"/>
      <c r="U4" s="64">
        <f>IF(E4&lt;&gt;"","MUD-"&amp;TEXT(ROW()-3,"000"),"")</f>
        <v/>
      </c>
      <c r="V4" s="61" t="n"/>
      <c r="W4" s="59" t="n"/>
      <c r="X4" s="57" t="n"/>
      <c r="Y4" s="57" t="n"/>
      <c r="Z4" s="57" t="n"/>
      <c r="AA4" s="65" t="n"/>
      <c r="AB4" s="66">
        <f>IF(AND(X4&lt;&gt;"",Z4&lt;&gt;""),IFERROR((Z4-X4)*24,""),"")</f>
        <v/>
      </c>
      <c r="AC4" s="59" t="n"/>
      <c r="AD4" s="59" t="n"/>
      <c r="AE4" s="59" t="n"/>
      <c r="AF4" s="59" t="n"/>
      <c r="AG4" s="59" t="n"/>
      <c r="AH4" s="59" t="n"/>
      <c r="AI4" s="59" t="n"/>
      <c r="AJ4" s="61" t="n"/>
      <c r="AK4" s="61" t="n"/>
    </row>
    <row r="5" ht="18" customHeight="1">
      <c r="A5" s="54">
        <f>IF(E5&lt;&gt;"","MUD-"&amp;TEXT(ROW()-3,"000"),"")</f>
        <v/>
      </c>
      <c r="B5" s="67">
        <f>IF(E5&lt;&gt;"",TODAY(),"")</f>
        <v/>
      </c>
      <c r="C5" s="68" t="n"/>
      <c r="D5" s="69" t="n"/>
      <c r="E5" s="70" t="n"/>
      <c r="F5" s="70" t="n"/>
      <c r="G5" s="71" t="n"/>
      <c r="H5" s="70" t="n"/>
      <c r="I5" s="70" t="n"/>
      <c r="J5" s="72" t="n"/>
      <c r="K5" s="71" t="n"/>
      <c r="L5" s="73" t="n"/>
      <c r="M5" s="73" t="n"/>
      <c r="N5" s="74" t="n"/>
      <c r="O5" s="74" t="n"/>
      <c r="P5" s="63">
        <f>IF(N5&lt;&gt;"",N5-O5,"")</f>
        <v/>
      </c>
      <c r="Q5" s="71" t="n"/>
      <c r="R5" s="71" t="n"/>
      <c r="S5" s="71" t="n"/>
      <c r="T5" s="72" t="n"/>
      <c r="U5" s="64">
        <f>IF(E5&lt;&gt;"","MUD-"&amp;TEXT(ROW()-3,"000"),"")</f>
        <v/>
      </c>
      <c r="V5" s="73" t="n"/>
      <c r="W5" s="71" t="n"/>
      <c r="X5" s="69" t="n"/>
      <c r="Y5" s="69" t="n"/>
      <c r="Z5" s="69" t="n"/>
      <c r="AA5" s="75" t="n"/>
      <c r="AB5" s="66">
        <f>IF(AND(X5&lt;&gt;"",Z5&lt;&gt;""),IFERROR((Z5-X5)*24,""),"")</f>
        <v/>
      </c>
      <c r="AC5" s="71" t="n"/>
      <c r="AD5" s="71" t="n"/>
      <c r="AE5" s="71" t="n"/>
      <c r="AF5" s="71" t="n"/>
      <c r="AG5" s="71" t="n"/>
      <c r="AH5" s="71" t="n"/>
      <c r="AI5" s="71" t="n"/>
      <c r="AJ5" s="73" t="n"/>
      <c r="AK5" s="73" t="n"/>
    </row>
    <row r="6" ht="18" customHeight="1">
      <c r="A6" s="54">
        <f>IF(E6&lt;&gt;"","MUD-"&amp;TEXT(ROW()-3,"000"),"")</f>
        <v/>
      </c>
      <c r="B6" s="55">
        <f>IF(E6&lt;&gt;"",TODAY(),"")</f>
        <v/>
      </c>
      <c r="C6" s="56" t="n"/>
      <c r="D6" s="57" t="n"/>
      <c r="E6" s="58" t="n"/>
      <c r="F6" s="58" t="n"/>
      <c r="G6" s="59" t="n"/>
      <c r="H6" s="58" t="n"/>
      <c r="I6" s="58" t="n"/>
      <c r="J6" s="60" t="n"/>
      <c r="K6" s="59" t="n"/>
      <c r="L6" s="61" t="n"/>
      <c r="M6" s="61" t="n"/>
      <c r="N6" s="62" t="n"/>
      <c r="O6" s="62" t="n"/>
      <c r="P6" s="63">
        <f>IF(N6&lt;&gt;"",N6-O6,"")</f>
        <v/>
      </c>
      <c r="Q6" s="59" t="n"/>
      <c r="R6" s="59" t="n"/>
      <c r="S6" s="59" t="n"/>
      <c r="T6" s="60" t="n"/>
      <c r="U6" s="64">
        <f>IF(E6&lt;&gt;"","MUD-"&amp;TEXT(ROW()-3,"000"),"")</f>
        <v/>
      </c>
      <c r="V6" s="61" t="n"/>
      <c r="W6" s="59" t="n"/>
      <c r="X6" s="57" t="n"/>
      <c r="Y6" s="57" t="n"/>
      <c r="Z6" s="57" t="n"/>
      <c r="AA6" s="65" t="n"/>
      <c r="AB6" s="66">
        <f>IF(AND(X6&lt;&gt;"",Z6&lt;&gt;""),IFERROR((Z6-X6)*24,""),"")</f>
        <v/>
      </c>
      <c r="AC6" s="59" t="n"/>
      <c r="AD6" s="59" t="n"/>
      <c r="AE6" s="59" t="n"/>
      <c r="AF6" s="59" t="n"/>
      <c r="AG6" s="59" t="n"/>
      <c r="AH6" s="59" t="n"/>
      <c r="AI6" s="59" t="n"/>
      <c r="AJ6" s="61" t="n"/>
      <c r="AK6" s="61" t="n"/>
    </row>
    <row r="7" ht="18" customHeight="1">
      <c r="A7" s="54">
        <f>IF(E7&lt;&gt;"","MUD-"&amp;TEXT(ROW()-3,"000"),"")</f>
        <v/>
      </c>
      <c r="B7" s="67">
        <f>IF(E7&lt;&gt;"",TODAY(),"")</f>
        <v/>
      </c>
      <c r="C7" s="68" t="n"/>
      <c r="D7" s="69" t="n"/>
      <c r="E7" s="70" t="n"/>
      <c r="F7" s="70" t="n"/>
      <c r="G7" s="71" t="n"/>
      <c r="H7" s="70" t="n"/>
      <c r="I7" s="70" t="n"/>
      <c r="J7" s="72" t="n"/>
      <c r="K7" s="71" t="n"/>
      <c r="L7" s="73" t="n"/>
      <c r="M7" s="73" t="n"/>
      <c r="N7" s="74" t="n"/>
      <c r="O7" s="74" t="n"/>
      <c r="P7" s="63">
        <f>IF(N7&lt;&gt;"",N7-O7,"")</f>
        <v/>
      </c>
      <c r="Q7" s="71" t="n"/>
      <c r="R7" s="71" t="n"/>
      <c r="S7" s="71" t="n"/>
      <c r="T7" s="72" t="n"/>
      <c r="U7" s="64">
        <f>IF(E7&lt;&gt;"","MUD-"&amp;TEXT(ROW()-3,"000"),"")</f>
        <v/>
      </c>
      <c r="V7" s="73" t="n"/>
      <c r="W7" s="71" t="n"/>
      <c r="X7" s="69" t="n"/>
      <c r="Y7" s="69" t="n"/>
      <c r="Z7" s="69" t="n"/>
      <c r="AA7" s="75" t="n"/>
      <c r="AB7" s="66">
        <f>IF(AND(X7&lt;&gt;"",Z7&lt;&gt;""),IFERROR((Z7-X7)*24,""),"")</f>
        <v/>
      </c>
      <c r="AC7" s="71" t="n"/>
      <c r="AD7" s="71" t="n"/>
      <c r="AE7" s="71" t="n"/>
      <c r="AF7" s="71" t="n"/>
      <c r="AG7" s="71" t="n"/>
      <c r="AH7" s="71" t="n"/>
      <c r="AI7" s="71" t="n"/>
      <c r="AJ7" s="73" t="n"/>
      <c r="AK7" s="73" t="n"/>
    </row>
    <row r="8" ht="18" customHeight="1">
      <c r="A8" s="54">
        <f>IF(E8&lt;&gt;"","MUD-"&amp;TEXT(ROW()-3,"000"),"")</f>
        <v/>
      </c>
      <c r="B8" s="55">
        <f>IF(E8&lt;&gt;"",TODAY(),"")</f>
        <v/>
      </c>
      <c r="C8" s="56" t="n"/>
      <c r="D8" s="57" t="n"/>
      <c r="E8" s="58" t="n"/>
      <c r="F8" s="58" t="n"/>
      <c r="G8" s="59" t="n"/>
      <c r="H8" s="58" t="n"/>
      <c r="I8" s="58" t="n"/>
      <c r="J8" s="60" t="n"/>
      <c r="K8" s="59" t="n"/>
      <c r="L8" s="61" t="n"/>
      <c r="M8" s="61" t="n"/>
      <c r="N8" s="62" t="n"/>
      <c r="O8" s="62" t="n"/>
      <c r="P8" s="63">
        <f>IF(N8&lt;&gt;"",N8-O8,"")</f>
        <v/>
      </c>
      <c r="Q8" s="59" t="n"/>
      <c r="R8" s="59" t="n"/>
      <c r="S8" s="59" t="n"/>
      <c r="T8" s="60" t="n"/>
      <c r="U8" s="64">
        <f>IF(E8&lt;&gt;"","MUD-"&amp;TEXT(ROW()-3,"000"),"")</f>
        <v/>
      </c>
      <c r="V8" s="61" t="n"/>
      <c r="W8" s="59" t="n"/>
      <c r="X8" s="57" t="n"/>
      <c r="Y8" s="57" t="n"/>
      <c r="Z8" s="57" t="n"/>
      <c r="AA8" s="65" t="n"/>
      <c r="AB8" s="66">
        <f>IF(AND(X8&lt;&gt;"",Z8&lt;&gt;""),IFERROR((Z8-X8)*24,""),"")</f>
        <v/>
      </c>
      <c r="AC8" s="59" t="n"/>
      <c r="AD8" s="59" t="n"/>
      <c r="AE8" s="59" t="n"/>
      <c r="AF8" s="59" t="n"/>
      <c r="AG8" s="59" t="n"/>
      <c r="AH8" s="59" t="n"/>
      <c r="AI8" s="59" t="n"/>
      <c r="AJ8" s="61" t="n"/>
      <c r="AK8" s="61" t="n"/>
    </row>
    <row r="9" ht="18" customHeight="1">
      <c r="A9" s="54">
        <f>IF(E9&lt;&gt;"","MUD-"&amp;TEXT(ROW()-3,"000"),"")</f>
        <v/>
      </c>
      <c r="B9" s="67">
        <f>IF(E9&lt;&gt;"",TODAY(),"")</f>
        <v/>
      </c>
      <c r="C9" s="68" t="n"/>
      <c r="D9" s="69" t="n"/>
      <c r="E9" s="70" t="n"/>
      <c r="F9" s="70" t="n"/>
      <c r="G9" s="71" t="n"/>
      <c r="H9" s="70" t="n"/>
      <c r="I9" s="70" t="n"/>
      <c r="J9" s="72" t="n"/>
      <c r="K9" s="71" t="n"/>
      <c r="L9" s="73" t="n"/>
      <c r="M9" s="73" t="n"/>
      <c r="N9" s="74" t="n"/>
      <c r="O9" s="74" t="n"/>
      <c r="P9" s="63">
        <f>IF(N9&lt;&gt;"",N9-O9,"")</f>
        <v/>
      </c>
      <c r="Q9" s="71" t="n"/>
      <c r="R9" s="71" t="n"/>
      <c r="S9" s="71" t="n"/>
      <c r="T9" s="72" t="n"/>
      <c r="U9" s="64">
        <f>IF(E9&lt;&gt;"","MUD-"&amp;TEXT(ROW()-3,"000"),"")</f>
        <v/>
      </c>
      <c r="V9" s="73" t="n"/>
      <c r="W9" s="71" t="n"/>
      <c r="X9" s="69" t="n"/>
      <c r="Y9" s="69" t="n"/>
      <c r="Z9" s="69" t="n"/>
      <c r="AA9" s="75" t="n"/>
      <c r="AB9" s="66">
        <f>IF(AND(X9&lt;&gt;"",Z9&lt;&gt;""),IFERROR((Z9-X9)*24,""),"")</f>
        <v/>
      </c>
      <c r="AC9" s="71" t="n"/>
      <c r="AD9" s="71" t="n"/>
      <c r="AE9" s="71" t="n"/>
      <c r="AF9" s="71" t="n"/>
      <c r="AG9" s="71" t="n"/>
      <c r="AH9" s="71" t="n"/>
      <c r="AI9" s="71" t="n"/>
      <c r="AJ9" s="73" t="n"/>
      <c r="AK9" s="73" t="n"/>
    </row>
    <row r="10" ht="18" customHeight="1">
      <c r="A10" s="54">
        <f>IF(E10&lt;&gt;"","MUD-"&amp;TEXT(ROW()-3,"000"),"")</f>
        <v/>
      </c>
      <c r="B10" s="55">
        <f>IF(E10&lt;&gt;"",TODAY(),"")</f>
        <v/>
      </c>
      <c r="C10" s="56" t="n"/>
      <c r="D10" s="57" t="n"/>
      <c r="E10" s="58" t="n"/>
      <c r="F10" s="58" t="n"/>
      <c r="G10" s="59" t="n"/>
      <c r="H10" s="58" t="n"/>
      <c r="I10" s="58" t="n"/>
      <c r="J10" s="60" t="n"/>
      <c r="K10" s="59" t="n"/>
      <c r="L10" s="61" t="n"/>
      <c r="M10" s="61" t="n"/>
      <c r="N10" s="62" t="n"/>
      <c r="O10" s="62" t="n"/>
      <c r="P10" s="63">
        <f>IF(N10&lt;&gt;"",N10-O10,"")</f>
        <v/>
      </c>
      <c r="Q10" s="59" t="n"/>
      <c r="R10" s="59" t="n"/>
      <c r="S10" s="59" t="n"/>
      <c r="T10" s="60" t="n"/>
      <c r="U10" s="64">
        <f>IF(E10&lt;&gt;"","MUD-"&amp;TEXT(ROW()-3,"000"),"")</f>
        <v/>
      </c>
      <c r="V10" s="61" t="n"/>
      <c r="W10" s="59" t="n"/>
      <c r="X10" s="57" t="n"/>
      <c r="Y10" s="57" t="n"/>
      <c r="Z10" s="57" t="n"/>
      <c r="AA10" s="65" t="n"/>
      <c r="AB10" s="66">
        <f>IF(AND(X10&lt;&gt;"",Z10&lt;&gt;""),IFERROR((Z10-X10)*24,""),"")</f>
        <v/>
      </c>
      <c r="AC10" s="59" t="n"/>
      <c r="AD10" s="59" t="n"/>
      <c r="AE10" s="59" t="n"/>
      <c r="AF10" s="59" t="n"/>
      <c r="AG10" s="59" t="n"/>
      <c r="AH10" s="59" t="n"/>
      <c r="AI10" s="59" t="n"/>
      <c r="AJ10" s="61" t="n"/>
      <c r="AK10" s="61" t="n"/>
    </row>
    <row r="11" ht="18" customHeight="1">
      <c r="A11" s="54">
        <f>IF(E11&lt;&gt;"","MUD-"&amp;TEXT(ROW()-3,"000"),"")</f>
        <v/>
      </c>
      <c r="B11" s="67">
        <f>IF(E11&lt;&gt;"",TODAY(),"")</f>
        <v/>
      </c>
      <c r="C11" s="68" t="n"/>
      <c r="D11" s="69" t="n"/>
      <c r="E11" s="70" t="n"/>
      <c r="F11" s="70" t="n"/>
      <c r="G11" s="71" t="n"/>
      <c r="H11" s="70" t="n"/>
      <c r="I11" s="70" t="n"/>
      <c r="J11" s="72" t="n"/>
      <c r="K11" s="71" t="n"/>
      <c r="L11" s="73" t="n"/>
      <c r="M11" s="73" t="n"/>
      <c r="N11" s="74" t="n"/>
      <c r="O11" s="74" t="n"/>
      <c r="P11" s="63">
        <f>IF(N11&lt;&gt;"",N11-O11,"")</f>
        <v/>
      </c>
      <c r="Q11" s="71" t="n"/>
      <c r="R11" s="71" t="n"/>
      <c r="S11" s="71" t="n"/>
      <c r="T11" s="72" t="n"/>
      <c r="U11" s="64">
        <f>IF(E11&lt;&gt;"","MUD-"&amp;TEXT(ROW()-3,"000"),"")</f>
        <v/>
      </c>
      <c r="V11" s="73" t="n"/>
      <c r="W11" s="71" t="n"/>
      <c r="X11" s="69" t="n"/>
      <c r="Y11" s="69" t="n"/>
      <c r="Z11" s="69" t="n"/>
      <c r="AA11" s="75" t="n"/>
      <c r="AB11" s="66">
        <f>IF(AND(X11&lt;&gt;"",Z11&lt;&gt;""),IFERROR((Z11-X11)*24,""),"")</f>
        <v/>
      </c>
      <c r="AC11" s="71" t="n"/>
      <c r="AD11" s="71" t="n"/>
      <c r="AE11" s="71" t="n"/>
      <c r="AF11" s="71" t="n"/>
      <c r="AG11" s="71" t="n"/>
      <c r="AH11" s="71" t="n"/>
      <c r="AI11" s="71" t="n"/>
      <c r="AJ11" s="73" t="n"/>
      <c r="AK11" s="73" t="n"/>
    </row>
    <row r="12" ht="18" customHeight="1">
      <c r="A12" s="54">
        <f>IF(E12&lt;&gt;"","MUD-"&amp;TEXT(ROW()-3,"000"),"")</f>
        <v/>
      </c>
      <c r="B12" s="55">
        <f>IF(E12&lt;&gt;"",TODAY(),"")</f>
        <v/>
      </c>
      <c r="C12" s="56" t="n"/>
      <c r="D12" s="57" t="n"/>
      <c r="E12" s="58" t="n"/>
      <c r="F12" s="58" t="n"/>
      <c r="G12" s="59" t="n"/>
      <c r="H12" s="58" t="n"/>
      <c r="I12" s="58" t="n"/>
      <c r="J12" s="60" t="n"/>
      <c r="K12" s="59" t="n"/>
      <c r="L12" s="61" t="n"/>
      <c r="M12" s="61" t="n"/>
      <c r="N12" s="62" t="n"/>
      <c r="O12" s="62" t="n"/>
      <c r="P12" s="63">
        <f>IF(N12&lt;&gt;"",N12-O12,"")</f>
        <v/>
      </c>
      <c r="Q12" s="59" t="n"/>
      <c r="R12" s="59" t="n"/>
      <c r="S12" s="59" t="n"/>
      <c r="T12" s="60" t="n"/>
      <c r="U12" s="64">
        <f>IF(E12&lt;&gt;"","MUD-"&amp;TEXT(ROW()-3,"000"),"")</f>
        <v/>
      </c>
      <c r="V12" s="61" t="n"/>
      <c r="W12" s="59" t="n"/>
      <c r="X12" s="57" t="n"/>
      <c r="Y12" s="57" t="n"/>
      <c r="Z12" s="57" t="n"/>
      <c r="AA12" s="65" t="n"/>
      <c r="AB12" s="66">
        <f>IF(AND(X12&lt;&gt;"",Z12&lt;&gt;""),IFERROR((Z12-X12)*24,""),"")</f>
        <v/>
      </c>
      <c r="AC12" s="59" t="n"/>
      <c r="AD12" s="59" t="n"/>
      <c r="AE12" s="59" t="n"/>
      <c r="AF12" s="59" t="n"/>
      <c r="AG12" s="59" t="n"/>
      <c r="AH12" s="59" t="n"/>
      <c r="AI12" s="59" t="n"/>
      <c r="AJ12" s="61" t="n"/>
      <c r="AK12" s="61" t="n"/>
    </row>
    <row r="13" ht="18" customHeight="1">
      <c r="A13" s="54">
        <f>IF(E13&lt;&gt;"","MUD-"&amp;TEXT(ROW()-3,"000"),"")</f>
        <v/>
      </c>
      <c r="B13" s="67">
        <f>IF(E13&lt;&gt;"",TODAY(),"")</f>
        <v/>
      </c>
      <c r="C13" s="68" t="n"/>
      <c r="D13" s="69" t="n"/>
      <c r="E13" s="70" t="n"/>
      <c r="F13" s="70" t="n"/>
      <c r="G13" s="71" t="n"/>
      <c r="H13" s="70" t="n"/>
      <c r="I13" s="70" t="n"/>
      <c r="J13" s="72" t="n"/>
      <c r="K13" s="71" t="n"/>
      <c r="L13" s="73" t="n"/>
      <c r="M13" s="73" t="n"/>
      <c r="N13" s="74" t="n"/>
      <c r="O13" s="74" t="n"/>
      <c r="P13" s="63">
        <f>IF(N13&lt;&gt;"",N13-O13,"")</f>
        <v/>
      </c>
      <c r="Q13" s="71" t="n"/>
      <c r="R13" s="71" t="n"/>
      <c r="S13" s="71" t="n"/>
      <c r="T13" s="72" t="n"/>
      <c r="U13" s="64">
        <f>IF(E13&lt;&gt;"","MUD-"&amp;TEXT(ROW()-3,"000"),"")</f>
        <v/>
      </c>
      <c r="V13" s="73" t="n"/>
      <c r="W13" s="71" t="n"/>
      <c r="X13" s="69" t="n"/>
      <c r="Y13" s="69" t="n"/>
      <c r="Z13" s="69" t="n"/>
      <c r="AA13" s="75" t="n"/>
      <c r="AB13" s="66">
        <f>IF(AND(X13&lt;&gt;"",Z13&lt;&gt;""),IFERROR((Z13-X13)*24,""),"")</f>
        <v/>
      </c>
      <c r="AC13" s="71" t="n"/>
      <c r="AD13" s="71" t="n"/>
      <c r="AE13" s="71" t="n"/>
      <c r="AF13" s="71" t="n"/>
      <c r="AG13" s="71" t="n"/>
      <c r="AH13" s="71" t="n"/>
      <c r="AI13" s="71" t="n"/>
      <c r="AJ13" s="73" t="n"/>
      <c r="AK13" s="73" t="n"/>
    </row>
    <row r="14" ht="18" customHeight="1">
      <c r="A14" s="54">
        <f>IF(E14&lt;&gt;"","MUD-"&amp;TEXT(ROW()-3,"000"),"")</f>
        <v/>
      </c>
      <c r="B14" s="55">
        <f>IF(E14&lt;&gt;"",TODAY(),"")</f>
        <v/>
      </c>
      <c r="C14" s="56" t="n"/>
      <c r="D14" s="57" t="n"/>
      <c r="E14" s="58" t="n"/>
      <c r="F14" s="58" t="n"/>
      <c r="G14" s="59" t="n"/>
      <c r="H14" s="58" t="n"/>
      <c r="I14" s="58" t="n"/>
      <c r="J14" s="60" t="n"/>
      <c r="K14" s="59" t="n"/>
      <c r="L14" s="61" t="n"/>
      <c r="M14" s="61" t="n"/>
      <c r="N14" s="62" t="n"/>
      <c r="O14" s="62" t="n"/>
      <c r="P14" s="63">
        <f>IF(N14&lt;&gt;"",N14-O14,"")</f>
        <v/>
      </c>
      <c r="Q14" s="59" t="n"/>
      <c r="R14" s="59" t="n"/>
      <c r="S14" s="59" t="n"/>
      <c r="T14" s="60" t="n"/>
      <c r="U14" s="64">
        <f>IF(E14&lt;&gt;"","MUD-"&amp;TEXT(ROW()-3,"000"),"")</f>
        <v/>
      </c>
      <c r="V14" s="61" t="n"/>
      <c r="W14" s="59" t="n"/>
      <c r="X14" s="57" t="n"/>
      <c r="Y14" s="57" t="n"/>
      <c r="Z14" s="57" t="n"/>
      <c r="AA14" s="65" t="n"/>
      <c r="AB14" s="66">
        <f>IF(AND(X14&lt;&gt;"",Z14&lt;&gt;""),IFERROR((Z14-X14)*24,""),"")</f>
        <v/>
      </c>
      <c r="AC14" s="59" t="n"/>
      <c r="AD14" s="59" t="n"/>
      <c r="AE14" s="59" t="n"/>
      <c r="AF14" s="59" t="n"/>
      <c r="AG14" s="59" t="n"/>
      <c r="AH14" s="59" t="n"/>
      <c r="AI14" s="59" t="n"/>
      <c r="AJ14" s="61" t="n"/>
      <c r="AK14" s="61" t="n"/>
    </row>
    <row r="15" ht="18" customHeight="1">
      <c r="A15" s="54">
        <f>IF(E15&lt;&gt;"","MUD-"&amp;TEXT(ROW()-3,"000"),"")</f>
        <v/>
      </c>
      <c r="B15" s="67">
        <f>IF(E15&lt;&gt;"",TODAY(),"")</f>
        <v/>
      </c>
      <c r="C15" s="68" t="n"/>
      <c r="D15" s="69" t="n"/>
      <c r="E15" s="70" t="n"/>
      <c r="F15" s="70" t="n"/>
      <c r="G15" s="71" t="n"/>
      <c r="H15" s="70" t="n"/>
      <c r="I15" s="70" t="n"/>
      <c r="J15" s="72" t="n"/>
      <c r="K15" s="71" t="n"/>
      <c r="L15" s="73" t="n"/>
      <c r="M15" s="73" t="n"/>
      <c r="N15" s="74" t="n"/>
      <c r="O15" s="74" t="n"/>
      <c r="P15" s="63">
        <f>IF(N15&lt;&gt;"",N15-O15,"")</f>
        <v/>
      </c>
      <c r="Q15" s="71" t="n"/>
      <c r="R15" s="71" t="n"/>
      <c r="S15" s="71" t="n"/>
      <c r="T15" s="72" t="n"/>
      <c r="U15" s="64">
        <f>IF(E15&lt;&gt;"","MUD-"&amp;TEXT(ROW()-3,"000"),"")</f>
        <v/>
      </c>
      <c r="V15" s="73" t="n"/>
      <c r="W15" s="71" t="n"/>
      <c r="X15" s="69" t="n"/>
      <c r="Y15" s="69" t="n"/>
      <c r="Z15" s="69" t="n"/>
      <c r="AA15" s="75" t="n"/>
      <c r="AB15" s="66">
        <f>IF(AND(X15&lt;&gt;"",Z15&lt;&gt;""),IFERROR((Z15-X15)*24,""),"")</f>
        <v/>
      </c>
      <c r="AC15" s="71" t="n"/>
      <c r="AD15" s="71" t="n"/>
      <c r="AE15" s="71" t="n"/>
      <c r="AF15" s="71" t="n"/>
      <c r="AG15" s="71" t="n"/>
      <c r="AH15" s="71" t="n"/>
      <c r="AI15" s="71" t="n"/>
      <c r="AJ15" s="73" t="n"/>
      <c r="AK15" s="73" t="n"/>
    </row>
    <row r="16" ht="18" customHeight="1">
      <c r="A16" s="54">
        <f>IF(E16&lt;&gt;"","MUD-"&amp;TEXT(ROW()-3,"000"),"")</f>
        <v/>
      </c>
      <c r="B16" s="55">
        <f>IF(E16&lt;&gt;"",TODAY(),"")</f>
        <v/>
      </c>
      <c r="C16" s="56" t="n"/>
      <c r="D16" s="57" t="n"/>
      <c r="E16" s="58" t="n"/>
      <c r="F16" s="58" t="n"/>
      <c r="G16" s="59" t="n"/>
      <c r="H16" s="58" t="n"/>
      <c r="I16" s="58" t="n"/>
      <c r="J16" s="60" t="n"/>
      <c r="K16" s="59" t="n"/>
      <c r="L16" s="61" t="n"/>
      <c r="M16" s="61" t="n"/>
      <c r="N16" s="62" t="n"/>
      <c r="O16" s="62" t="n"/>
      <c r="P16" s="63">
        <f>IF(N16&lt;&gt;"",N16-O16,"")</f>
        <v/>
      </c>
      <c r="Q16" s="59" t="n"/>
      <c r="R16" s="59" t="n"/>
      <c r="S16" s="59" t="n"/>
      <c r="T16" s="60" t="n"/>
      <c r="U16" s="64">
        <f>IF(E16&lt;&gt;"","MUD-"&amp;TEXT(ROW()-3,"000"),"")</f>
        <v/>
      </c>
      <c r="V16" s="61" t="n"/>
      <c r="W16" s="59" t="n"/>
      <c r="X16" s="57" t="n"/>
      <c r="Y16" s="57" t="n"/>
      <c r="Z16" s="57" t="n"/>
      <c r="AA16" s="65" t="n"/>
      <c r="AB16" s="66">
        <f>IF(AND(X16&lt;&gt;"",Z16&lt;&gt;""),IFERROR((Z16-X16)*24,""),"")</f>
        <v/>
      </c>
      <c r="AC16" s="59" t="n"/>
      <c r="AD16" s="59" t="n"/>
      <c r="AE16" s="59" t="n"/>
      <c r="AF16" s="59" t="n"/>
      <c r="AG16" s="59" t="n"/>
      <c r="AH16" s="59" t="n"/>
      <c r="AI16" s="59" t="n"/>
      <c r="AJ16" s="61" t="n"/>
      <c r="AK16" s="61" t="n"/>
    </row>
    <row r="17" ht="18" customHeight="1">
      <c r="A17" s="54">
        <f>IF(E17&lt;&gt;"","MUD-"&amp;TEXT(ROW()-3,"000"),"")</f>
        <v/>
      </c>
      <c r="B17" s="67">
        <f>IF(E17&lt;&gt;"",TODAY(),"")</f>
        <v/>
      </c>
      <c r="C17" s="68" t="n"/>
      <c r="D17" s="69" t="n"/>
      <c r="E17" s="70" t="n"/>
      <c r="F17" s="70" t="n"/>
      <c r="G17" s="71" t="n"/>
      <c r="H17" s="70" t="n"/>
      <c r="I17" s="70" t="n"/>
      <c r="J17" s="72" t="n"/>
      <c r="K17" s="71" t="n"/>
      <c r="L17" s="73" t="n"/>
      <c r="M17" s="73" t="n"/>
      <c r="N17" s="74" t="n"/>
      <c r="O17" s="74" t="n"/>
      <c r="P17" s="63">
        <f>IF(N17&lt;&gt;"",N17-O17,"")</f>
        <v/>
      </c>
      <c r="Q17" s="71" t="n"/>
      <c r="R17" s="71" t="n"/>
      <c r="S17" s="71" t="n"/>
      <c r="T17" s="72" t="n"/>
      <c r="U17" s="64">
        <f>IF(E17&lt;&gt;"","MUD-"&amp;TEXT(ROW()-3,"000"),"")</f>
        <v/>
      </c>
      <c r="V17" s="73" t="n"/>
      <c r="W17" s="71" t="n"/>
      <c r="X17" s="69" t="n"/>
      <c r="Y17" s="69" t="n"/>
      <c r="Z17" s="69" t="n"/>
      <c r="AA17" s="75" t="n"/>
      <c r="AB17" s="66">
        <f>IF(AND(X17&lt;&gt;"",Z17&lt;&gt;""),IFERROR((Z17-X17)*24,""),"")</f>
        <v/>
      </c>
      <c r="AC17" s="71" t="n"/>
      <c r="AD17" s="71" t="n"/>
      <c r="AE17" s="71" t="n"/>
      <c r="AF17" s="71" t="n"/>
      <c r="AG17" s="71" t="n"/>
      <c r="AH17" s="71" t="n"/>
      <c r="AI17" s="71" t="n"/>
      <c r="AJ17" s="73" t="n"/>
      <c r="AK17" s="73" t="n"/>
    </row>
    <row r="18" ht="18" customHeight="1">
      <c r="A18" s="54">
        <f>IF(E18&lt;&gt;"","MUD-"&amp;TEXT(ROW()-3,"000"),"")</f>
        <v/>
      </c>
      <c r="B18" s="55">
        <f>IF(E18&lt;&gt;"",TODAY(),"")</f>
        <v/>
      </c>
      <c r="C18" s="56" t="n"/>
      <c r="D18" s="57" t="n"/>
      <c r="E18" s="58" t="n"/>
      <c r="F18" s="58" t="n"/>
      <c r="G18" s="59" t="n"/>
      <c r="H18" s="58" t="n"/>
      <c r="I18" s="58" t="n"/>
      <c r="J18" s="60" t="n"/>
      <c r="K18" s="59" t="n"/>
      <c r="L18" s="61" t="n"/>
      <c r="M18" s="61" t="n"/>
      <c r="N18" s="62" t="n"/>
      <c r="O18" s="62" t="n"/>
      <c r="P18" s="63">
        <f>IF(N18&lt;&gt;"",N18-O18,"")</f>
        <v/>
      </c>
      <c r="Q18" s="59" t="n"/>
      <c r="R18" s="59" t="n"/>
      <c r="S18" s="59" t="n"/>
      <c r="T18" s="60" t="n"/>
      <c r="U18" s="64">
        <f>IF(E18&lt;&gt;"","MUD-"&amp;TEXT(ROW()-3,"000"),"")</f>
        <v/>
      </c>
      <c r="V18" s="61" t="n"/>
      <c r="W18" s="59" t="n"/>
      <c r="X18" s="57" t="n"/>
      <c r="Y18" s="57" t="n"/>
      <c r="Z18" s="57" t="n"/>
      <c r="AA18" s="65" t="n"/>
      <c r="AB18" s="66">
        <f>IF(AND(X18&lt;&gt;"",Z18&lt;&gt;""),IFERROR((Z18-X18)*24,""),"")</f>
        <v/>
      </c>
      <c r="AC18" s="59" t="n"/>
      <c r="AD18" s="59" t="n"/>
      <c r="AE18" s="59" t="n"/>
      <c r="AF18" s="59" t="n"/>
      <c r="AG18" s="59" t="n"/>
      <c r="AH18" s="59" t="n"/>
      <c r="AI18" s="59" t="n"/>
      <c r="AJ18" s="61" t="n"/>
      <c r="AK18" s="61" t="n"/>
    </row>
    <row r="19" ht="18" customHeight="1">
      <c r="A19" s="54">
        <f>IF(E19&lt;&gt;"","MUD-"&amp;TEXT(ROW()-3,"000"),"")</f>
        <v/>
      </c>
      <c r="B19" s="67">
        <f>IF(E19&lt;&gt;"",TODAY(),"")</f>
        <v/>
      </c>
      <c r="C19" s="68" t="n"/>
      <c r="D19" s="69" t="n"/>
      <c r="E19" s="70" t="n"/>
      <c r="F19" s="70" t="n"/>
      <c r="G19" s="71" t="n"/>
      <c r="H19" s="70" t="n"/>
      <c r="I19" s="70" t="n"/>
      <c r="J19" s="72" t="n"/>
      <c r="K19" s="71" t="n"/>
      <c r="L19" s="73" t="n"/>
      <c r="M19" s="73" t="n"/>
      <c r="N19" s="74" t="n"/>
      <c r="O19" s="74" t="n"/>
      <c r="P19" s="63">
        <f>IF(N19&lt;&gt;"",N19-O19,"")</f>
        <v/>
      </c>
      <c r="Q19" s="71" t="n"/>
      <c r="R19" s="71" t="n"/>
      <c r="S19" s="71" t="n"/>
      <c r="T19" s="72" t="n"/>
      <c r="U19" s="64">
        <f>IF(E19&lt;&gt;"","MUD-"&amp;TEXT(ROW()-3,"000"),"")</f>
        <v/>
      </c>
      <c r="V19" s="73" t="n"/>
      <c r="W19" s="71" t="n"/>
      <c r="X19" s="69" t="n"/>
      <c r="Y19" s="69" t="n"/>
      <c r="Z19" s="69" t="n"/>
      <c r="AA19" s="75" t="n"/>
      <c r="AB19" s="66">
        <f>IF(AND(X19&lt;&gt;"",Z19&lt;&gt;""),IFERROR((Z19-X19)*24,""),"")</f>
        <v/>
      </c>
      <c r="AC19" s="71" t="n"/>
      <c r="AD19" s="71" t="n"/>
      <c r="AE19" s="71" t="n"/>
      <c r="AF19" s="71" t="n"/>
      <c r="AG19" s="71" t="n"/>
      <c r="AH19" s="71" t="n"/>
      <c r="AI19" s="71" t="n"/>
      <c r="AJ19" s="73" t="n"/>
      <c r="AK19" s="73" t="n"/>
    </row>
    <row r="20" ht="18" customHeight="1">
      <c r="A20" s="54">
        <f>IF(E20&lt;&gt;"","MUD-"&amp;TEXT(ROW()-3,"000"),"")</f>
        <v/>
      </c>
      <c r="B20" s="55">
        <f>IF(E20&lt;&gt;"",TODAY(),"")</f>
        <v/>
      </c>
      <c r="C20" s="56" t="n"/>
      <c r="D20" s="57" t="n"/>
      <c r="E20" s="58" t="n"/>
      <c r="F20" s="58" t="n"/>
      <c r="G20" s="59" t="n"/>
      <c r="H20" s="58" t="n"/>
      <c r="I20" s="58" t="n"/>
      <c r="J20" s="60" t="n"/>
      <c r="K20" s="59" t="n"/>
      <c r="L20" s="61" t="n"/>
      <c r="M20" s="61" t="n"/>
      <c r="N20" s="62" t="n"/>
      <c r="O20" s="62" t="n"/>
      <c r="P20" s="63">
        <f>IF(N20&lt;&gt;"",N20-O20,"")</f>
        <v/>
      </c>
      <c r="Q20" s="59" t="n"/>
      <c r="R20" s="59" t="n"/>
      <c r="S20" s="59" t="n"/>
      <c r="T20" s="60" t="n"/>
      <c r="U20" s="64">
        <f>IF(E20&lt;&gt;"","MUD-"&amp;TEXT(ROW()-3,"000"),"")</f>
        <v/>
      </c>
      <c r="V20" s="61" t="n"/>
      <c r="W20" s="59" t="n"/>
      <c r="X20" s="57" t="n"/>
      <c r="Y20" s="57" t="n"/>
      <c r="Z20" s="57" t="n"/>
      <c r="AA20" s="65" t="n"/>
      <c r="AB20" s="66">
        <f>IF(AND(X20&lt;&gt;"",Z20&lt;&gt;""),IFERROR((Z20-X20)*24,""),"")</f>
        <v/>
      </c>
      <c r="AC20" s="59" t="n"/>
      <c r="AD20" s="59" t="n"/>
      <c r="AE20" s="59" t="n"/>
      <c r="AF20" s="59" t="n"/>
      <c r="AG20" s="59" t="n"/>
      <c r="AH20" s="59" t="n"/>
      <c r="AI20" s="59" t="n"/>
      <c r="AJ20" s="61" t="n"/>
      <c r="AK20" s="61" t="n"/>
    </row>
    <row r="21" ht="18" customHeight="1">
      <c r="A21" s="54">
        <f>IF(E21&lt;&gt;"","MUD-"&amp;TEXT(ROW()-3,"000"),"")</f>
        <v/>
      </c>
      <c r="B21" s="67">
        <f>IF(E21&lt;&gt;"",TODAY(),"")</f>
        <v/>
      </c>
      <c r="C21" s="68" t="n"/>
      <c r="D21" s="69" t="n"/>
      <c r="E21" s="70" t="n"/>
      <c r="F21" s="70" t="n"/>
      <c r="G21" s="71" t="n"/>
      <c r="H21" s="70" t="n"/>
      <c r="I21" s="70" t="n"/>
      <c r="J21" s="72" t="n"/>
      <c r="K21" s="71" t="n"/>
      <c r="L21" s="73" t="n"/>
      <c r="M21" s="73" t="n"/>
      <c r="N21" s="74" t="n"/>
      <c r="O21" s="74" t="n"/>
      <c r="P21" s="63">
        <f>IF(N21&lt;&gt;"",N21-O21,"")</f>
        <v/>
      </c>
      <c r="Q21" s="71" t="n"/>
      <c r="R21" s="71" t="n"/>
      <c r="S21" s="71" t="n"/>
      <c r="T21" s="72" t="n"/>
      <c r="U21" s="64">
        <f>IF(E21&lt;&gt;"","MUD-"&amp;TEXT(ROW()-3,"000"),"")</f>
        <v/>
      </c>
      <c r="V21" s="73" t="n"/>
      <c r="W21" s="71" t="n"/>
      <c r="X21" s="69" t="n"/>
      <c r="Y21" s="69" t="n"/>
      <c r="Z21" s="69" t="n"/>
      <c r="AA21" s="75" t="n"/>
      <c r="AB21" s="66">
        <f>IF(AND(X21&lt;&gt;"",Z21&lt;&gt;""),IFERROR((Z21-X21)*24,""),"")</f>
        <v/>
      </c>
      <c r="AC21" s="71" t="n"/>
      <c r="AD21" s="71" t="n"/>
      <c r="AE21" s="71" t="n"/>
      <c r="AF21" s="71" t="n"/>
      <c r="AG21" s="71" t="n"/>
      <c r="AH21" s="71" t="n"/>
      <c r="AI21" s="71" t="n"/>
      <c r="AJ21" s="73" t="n"/>
      <c r="AK21" s="73" t="n"/>
    </row>
    <row r="22" ht="18" customHeight="1">
      <c r="A22" s="54">
        <f>IF(E22&lt;&gt;"","MUD-"&amp;TEXT(ROW()-3,"000"),"")</f>
        <v/>
      </c>
      <c r="B22" s="55">
        <f>IF(E22&lt;&gt;"",TODAY(),"")</f>
        <v/>
      </c>
      <c r="C22" s="56" t="n"/>
      <c r="D22" s="57" t="n"/>
      <c r="E22" s="58" t="n"/>
      <c r="F22" s="58" t="n"/>
      <c r="G22" s="59" t="n"/>
      <c r="H22" s="58" t="n"/>
      <c r="I22" s="58" t="n"/>
      <c r="J22" s="60" t="n"/>
      <c r="K22" s="59" t="n"/>
      <c r="L22" s="61" t="n"/>
      <c r="M22" s="61" t="n"/>
      <c r="N22" s="62" t="n"/>
      <c r="O22" s="62" t="n"/>
      <c r="P22" s="63">
        <f>IF(N22&lt;&gt;"",N22-O22,"")</f>
        <v/>
      </c>
      <c r="Q22" s="59" t="n"/>
      <c r="R22" s="59" t="n"/>
      <c r="S22" s="59" t="n"/>
      <c r="T22" s="60" t="n"/>
      <c r="U22" s="64">
        <f>IF(E22&lt;&gt;"","MUD-"&amp;TEXT(ROW()-3,"000"),"")</f>
        <v/>
      </c>
      <c r="V22" s="61" t="n"/>
      <c r="W22" s="59" t="n"/>
      <c r="X22" s="57" t="n"/>
      <c r="Y22" s="57" t="n"/>
      <c r="Z22" s="57" t="n"/>
      <c r="AA22" s="65" t="n"/>
      <c r="AB22" s="66">
        <f>IF(AND(X22&lt;&gt;"",Z22&lt;&gt;""),IFERROR((Z22-X22)*24,""),"")</f>
        <v/>
      </c>
      <c r="AC22" s="59" t="n"/>
      <c r="AD22" s="59" t="n"/>
      <c r="AE22" s="59" t="n"/>
      <c r="AF22" s="59" t="n"/>
      <c r="AG22" s="59" t="n"/>
      <c r="AH22" s="59" t="n"/>
      <c r="AI22" s="59" t="n"/>
      <c r="AJ22" s="61" t="n"/>
      <c r="AK22" s="61" t="n"/>
    </row>
    <row r="23" ht="18" customHeight="1">
      <c r="A23" s="54">
        <f>IF(E23&lt;&gt;"","MUD-"&amp;TEXT(ROW()-3,"000"),"")</f>
        <v/>
      </c>
      <c r="B23" s="67">
        <f>IF(E23&lt;&gt;"",TODAY(),"")</f>
        <v/>
      </c>
      <c r="C23" s="68" t="n"/>
      <c r="D23" s="69" t="n"/>
      <c r="E23" s="70" t="n"/>
      <c r="F23" s="70" t="n"/>
      <c r="G23" s="71" t="n"/>
      <c r="H23" s="70" t="n"/>
      <c r="I23" s="70" t="n"/>
      <c r="J23" s="72" t="n"/>
      <c r="K23" s="71" t="n"/>
      <c r="L23" s="73" t="n"/>
      <c r="M23" s="73" t="n"/>
      <c r="N23" s="74" t="n"/>
      <c r="O23" s="74" t="n"/>
      <c r="P23" s="63">
        <f>IF(N23&lt;&gt;"",N23-O23,"")</f>
        <v/>
      </c>
      <c r="Q23" s="71" t="n"/>
      <c r="R23" s="71" t="n"/>
      <c r="S23" s="71" t="n"/>
      <c r="T23" s="72" t="n"/>
      <c r="U23" s="64">
        <f>IF(E23&lt;&gt;"","MUD-"&amp;TEXT(ROW()-3,"000"),"")</f>
        <v/>
      </c>
      <c r="V23" s="73" t="n"/>
      <c r="W23" s="71" t="n"/>
      <c r="X23" s="69" t="n"/>
      <c r="Y23" s="69" t="n"/>
      <c r="Z23" s="69" t="n"/>
      <c r="AA23" s="75" t="n"/>
      <c r="AB23" s="66">
        <f>IF(AND(X23&lt;&gt;"",Z23&lt;&gt;""),IFERROR((Z23-X23)*24,""),"")</f>
        <v/>
      </c>
      <c r="AC23" s="71" t="n"/>
      <c r="AD23" s="71" t="n"/>
      <c r="AE23" s="71" t="n"/>
      <c r="AF23" s="71" t="n"/>
      <c r="AG23" s="71" t="n"/>
      <c r="AH23" s="71" t="n"/>
      <c r="AI23" s="71" t="n"/>
      <c r="AJ23" s="73" t="n"/>
      <c r="AK23" s="73" t="n"/>
    </row>
    <row r="24" ht="18" customHeight="1">
      <c r="A24" s="54">
        <f>IF(E24&lt;&gt;"","MUD-"&amp;TEXT(ROW()-3,"000"),"")</f>
        <v/>
      </c>
      <c r="B24" s="55">
        <f>IF(E24&lt;&gt;"",TODAY(),"")</f>
        <v/>
      </c>
      <c r="C24" s="56" t="n"/>
      <c r="D24" s="57" t="n"/>
      <c r="E24" s="58" t="n"/>
      <c r="F24" s="58" t="n"/>
      <c r="G24" s="59" t="n"/>
      <c r="H24" s="58" t="n"/>
      <c r="I24" s="58" t="n"/>
      <c r="J24" s="60" t="n"/>
      <c r="K24" s="59" t="n"/>
      <c r="L24" s="61" t="n"/>
      <c r="M24" s="61" t="n"/>
      <c r="N24" s="62" t="n"/>
      <c r="O24" s="62" t="n"/>
      <c r="P24" s="63">
        <f>IF(N24&lt;&gt;"",N24-O24,"")</f>
        <v/>
      </c>
      <c r="Q24" s="59" t="n"/>
      <c r="R24" s="59" t="n"/>
      <c r="S24" s="59" t="n"/>
      <c r="T24" s="60" t="n"/>
      <c r="U24" s="64">
        <f>IF(E24&lt;&gt;"","MUD-"&amp;TEXT(ROW()-3,"000"),"")</f>
        <v/>
      </c>
      <c r="V24" s="61" t="n"/>
      <c r="W24" s="59" t="n"/>
      <c r="X24" s="57" t="n"/>
      <c r="Y24" s="57" t="n"/>
      <c r="Z24" s="57" t="n"/>
      <c r="AA24" s="65" t="n"/>
      <c r="AB24" s="66">
        <f>IF(AND(X24&lt;&gt;"",Z24&lt;&gt;""),IFERROR((Z24-X24)*24,""),"")</f>
        <v/>
      </c>
      <c r="AC24" s="59" t="n"/>
      <c r="AD24" s="59" t="n"/>
      <c r="AE24" s="59" t="n"/>
      <c r="AF24" s="59" t="n"/>
      <c r="AG24" s="59" t="n"/>
      <c r="AH24" s="59" t="n"/>
      <c r="AI24" s="59" t="n"/>
      <c r="AJ24" s="61" t="n"/>
      <c r="AK24" s="61" t="n"/>
    </row>
    <row r="25" ht="18" customHeight="1">
      <c r="A25" s="54">
        <f>IF(E25&lt;&gt;"","MUD-"&amp;TEXT(ROW()-3,"000"),"")</f>
        <v/>
      </c>
      <c r="B25" s="67">
        <f>IF(E25&lt;&gt;"",TODAY(),"")</f>
        <v/>
      </c>
      <c r="C25" s="68" t="n"/>
      <c r="D25" s="69" t="n"/>
      <c r="E25" s="70" t="n"/>
      <c r="F25" s="70" t="n"/>
      <c r="G25" s="71" t="n"/>
      <c r="H25" s="70" t="n"/>
      <c r="I25" s="70" t="n"/>
      <c r="J25" s="72" t="n"/>
      <c r="K25" s="71" t="n"/>
      <c r="L25" s="73" t="n"/>
      <c r="M25" s="73" t="n"/>
      <c r="N25" s="74" t="n"/>
      <c r="O25" s="74" t="n"/>
      <c r="P25" s="63">
        <f>IF(N25&lt;&gt;"",N25-O25,"")</f>
        <v/>
      </c>
      <c r="Q25" s="71" t="n"/>
      <c r="R25" s="71" t="n"/>
      <c r="S25" s="71" t="n"/>
      <c r="T25" s="72" t="n"/>
      <c r="U25" s="64">
        <f>IF(E25&lt;&gt;"","MUD-"&amp;TEXT(ROW()-3,"000"),"")</f>
        <v/>
      </c>
      <c r="V25" s="73" t="n"/>
      <c r="W25" s="71" t="n"/>
      <c r="X25" s="69" t="n"/>
      <c r="Y25" s="69" t="n"/>
      <c r="Z25" s="69" t="n"/>
      <c r="AA25" s="75" t="n"/>
      <c r="AB25" s="66">
        <f>IF(AND(X25&lt;&gt;"",Z25&lt;&gt;""),IFERROR((Z25-X25)*24,""),"")</f>
        <v/>
      </c>
      <c r="AC25" s="71" t="n"/>
      <c r="AD25" s="71" t="n"/>
      <c r="AE25" s="71" t="n"/>
      <c r="AF25" s="71" t="n"/>
      <c r="AG25" s="71" t="n"/>
      <c r="AH25" s="71" t="n"/>
      <c r="AI25" s="71" t="n"/>
      <c r="AJ25" s="73" t="n"/>
      <c r="AK25" s="73" t="n"/>
    </row>
    <row r="26" ht="18" customHeight="1">
      <c r="A26" s="54">
        <f>IF(E26&lt;&gt;"","MUD-"&amp;TEXT(ROW()-3,"000"),"")</f>
        <v/>
      </c>
      <c r="B26" s="55">
        <f>IF(E26&lt;&gt;"",TODAY(),"")</f>
        <v/>
      </c>
      <c r="C26" s="56" t="n"/>
      <c r="D26" s="57" t="n"/>
      <c r="E26" s="58" t="n"/>
      <c r="F26" s="58" t="n"/>
      <c r="G26" s="59" t="n"/>
      <c r="H26" s="58" t="n"/>
      <c r="I26" s="58" t="n"/>
      <c r="J26" s="60" t="n"/>
      <c r="K26" s="59" t="n"/>
      <c r="L26" s="61" t="n"/>
      <c r="M26" s="61" t="n"/>
      <c r="N26" s="62" t="n"/>
      <c r="O26" s="62" t="n"/>
      <c r="P26" s="63">
        <f>IF(N26&lt;&gt;"",N26-O26,"")</f>
        <v/>
      </c>
      <c r="Q26" s="59" t="n"/>
      <c r="R26" s="59" t="n"/>
      <c r="S26" s="59" t="n"/>
      <c r="T26" s="60" t="n"/>
      <c r="U26" s="64">
        <f>IF(E26&lt;&gt;"","MUD-"&amp;TEXT(ROW()-3,"000"),"")</f>
        <v/>
      </c>
      <c r="V26" s="61" t="n"/>
      <c r="W26" s="59" t="n"/>
      <c r="X26" s="57" t="n"/>
      <c r="Y26" s="57" t="n"/>
      <c r="Z26" s="57" t="n"/>
      <c r="AA26" s="65" t="n"/>
      <c r="AB26" s="66">
        <f>IF(AND(X26&lt;&gt;"",Z26&lt;&gt;""),IFERROR((Z26-X26)*24,""),"")</f>
        <v/>
      </c>
      <c r="AC26" s="59" t="n"/>
      <c r="AD26" s="59" t="n"/>
      <c r="AE26" s="59" t="n"/>
      <c r="AF26" s="59" t="n"/>
      <c r="AG26" s="59" t="n"/>
      <c r="AH26" s="59" t="n"/>
      <c r="AI26" s="59" t="n"/>
      <c r="AJ26" s="61" t="n"/>
      <c r="AK26" s="61" t="n"/>
    </row>
    <row r="27" ht="18" customHeight="1">
      <c r="A27" s="54">
        <f>IF(E27&lt;&gt;"","MUD-"&amp;TEXT(ROW()-3,"000"),"")</f>
        <v/>
      </c>
      <c r="B27" s="67">
        <f>IF(E27&lt;&gt;"",TODAY(),"")</f>
        <v/>
      </c>
      <c r="C27" s="68" t="n"/>
      <c r="D27" s="69" t="n"/>
      <c r="E27" s="70" t="n"/>
      <c r="F27" s="70" t="n"/>
      <c r="G27" s="71" t="n"/>
      <c r="H27" s="70" t="n"/>
      <c r="I27" s="70" t="n"/>
      <c r="J27" s="72" t="n"/>
      <c r="K27" s="71" t="n"/>
      <c r="L27" s="73" t="n"/>
      <c r="M27" s="73" t="n"/>
      <c r="N27" s="74" t="n"/>
      <c r="O27" s="74" t="n"/>
      <c r="P27" s="63">
        <f>IF(N27&lt;&gt;"",N27-O27,"")</f>
        <v/>
      </c>
      <c r="Q27" s="71" t="n"/>
      <c r="R27" s="71" t="n"/>
      <c r="S27" s="71" t="n"/>
      <c r="T27" s="72" t="n"/>
      <c r="U27" s="64">
        <f>IF(E27&lt;&gt;"","MUD-"&amp;TEXT(ROW()-3,"000"),"")</f>
        <v/>
      </c>
      <c r="V27" s="73" t="n"/>
      <c r="W27" s="71" t="n"/>
      <c r="X27" s="69" t="n"/>
      <c r="Y27" s="69" t="n"/>
      <c r="Z27" s="69" t="n"/>
      <c r="AA27" s="75" t="n"/>
      <c r="AB27" s="66">
        <f>IF(AND(X27&lt;&gt;"",Z27&lt;&gt;""),IFERROR((Z27-X27)*24,""),"")</f>
        <v/>
      </c>
      <c r="AC27" s="71" t="n"/>
      <c r="AD27" s="71" t="n"/>
      <c r="AE27" s="71" t="n"/>
      <c r="AF27" s="71" t="n"/>
      <c r="AG27" s="71" t="n"/>
      <c r="AH27" s="71" t="n"/>
      <c r="AI27" s="71" t="n"/>
      <c r="AJ27" s="73" t="n"/>
      <c r="AK27" s="73" t="n"/>
    </row>
    <row r="28" ht="18" customHeight="1">
      <c r="A28" s="54">
        <f>IF(E28&lt;&gt;"","MUD-"&amp;TEXT(ROW()-3,"000"),"")</f>
        <v/>
      </c>
      <c r="B28" s="55">
        <f>IF(E28&lt;&gt;"",TODAY(),"")</f>
        <v/>
      </c>
      <c r="C28" s="56" t="n"/>
      <c r="D28" s="57" t="n"/>
      <c r="E28" s="58" t="n"/>
      <c r="F28" s="58" t="n"/>
      <c r="G28" s="59" t="n"/>
      <c r="H28" s="58" t="n"/>
      <c r="I28" s="58" t="n"/>
      <c r="J28" s="60" t="n"/>
      <c r="K28" s="59" t="n"/>
      <c r="L28" s="61" t="n"/>
      <c r="M28" s="61" t="n"/>
      <c r="N28" s="62" t="n"/>
      <c r="O28" s="62" t="n"/>
      <c r="P28" s="63">
        <f>IF(N28&lt;&gt;"",N28-O28,"")</f>
        <v/>
      </c>
      <c r="Q28" s="59" t="n"/>
      <c r="R28" s="59" t="n"/>
      <c r="S28" s="59" t="n"/>
      <c r="T28" s="60" t="n"/>
      <c r="U28" s="64">
        <f>IF(E28&lt;&gt;"","MUD-"&amp;TEXT(ROW()-3,"000"),"")</f>
        <v/>
      </c>
      <c r="V28" s="61" t="n"/>
      <c r="W28" s="59" t="n"/>
      <c r="X28" s="57" t="n"/>
      <c r="Y28" s="57" t="n"/>
      <c r="Z28" s="57" t="n"/>
      <c r="AA28" s="65" t="n"/>
      <c r="AB28" s="66">
        <f>IF(AND(X28&lt;&gt;"",Z28&lt;&gt;""),IFERROR((Z28-X28)*24,""),"")</f>
        <v/>
      </c>
      <c r="AC28" s="59" t="n"/>
      <c r="AD28" s="59" t="n"/>
      <c r="AE28" s="59" t="n"/>
      <c r="AF28" s="59" t="n"/>
      <c r="AG28" s="59" t="n"/>
      <c r="AH28" s="59" t="n"/>
      <c r="AI28" s="59" t="n"/>
      <c r="AJ28" s="61" t="n"/>
      <c r="AK28" s="61" t="n"/>
    </row>
    <row r="29" ht="18" customHeight="1">
      <c r="A29" s="54">
        <f>IF(E29&lt;&gt;"","MUD-"&amp;TEXT(ROW()-3,"000"),"")</f>
        <v/>
      </c>
      <c r="B29" s="67">
        <f>IF(E29&lt;&gt;"",TODAY(),"")</f>
        <v/>
      </c>
      <c r="C29" s="68" t="n"/>
      <c r="D29" s="69" t="n"/>
      <c r="E29" s="70" t="n"/>
      <c r="F29" s="70" t="n"/>
      <c r="G29" s="71" t="n"/>
      <c r="H29" s="70" t="n"/>
      <c r="I29" s="70" t="n"/>
      <c r="J29" s="72" t="n"/>
      <c r="K29" s="71" t="n"/>
      <c r="L29" s="73" t="n"/>
      <c r="M29" s="73" t="n"/>
      <c r="N29" s="74" t="n"/>
      <c r="O29" s="74" t="n"/>
      <c r="P29" s="63">
        <f>IF(N29&lt;&gt;"",N29-O29,"")</f>
        <v/>
      </c>
      <c r="Q29" s="71" t="n"/>
      <c r="R29" s="71" t="n"/>
      <c r="S29" s="71" t="n"/>
      <c r="T29" s="72" t="n"/>
      <c r="U29" s="64">
        <f>IF(E29&lt;&gt;"","MUD-"&amp;TEXT(ROW()-3,"000"),"")</f>
        <v/>
      </c>
      <c r="V29" s="73" t="n"/>
      <c r="W29" s="71" t="n"/>
      <c r="X29" s="69" t="n"/>
      <c r="Y29" s="69" t="n"/>
      <c r="Z29" s="69" t="n"/>
      <c r="AA29" s="75" t="n"/>
      <c r="AB29" s="66">
        <f>IF(AND(X29&lt;&gt;"",Z29&lt;&gt;""),IFERROR((Z29-X29)*24,""),"")</f>
        <v/>
      </c>
      <c r="AC29" s="71" t="n"/>
      <c r="AD29" s="71" t="n"/>
      <c r="AE29" s="71" t="n"/>
      <c r="AF29" s="71" t="n"/>
      <c r="AG29" s="71" t="n"/>
      <c r="AH29" s="71" t="n"/>
      <c r="AI29" s="71" t="n"/>
      <c r="AJ29" s="73" t="n"/>
      <c r="AK29" s="73" t="n"/>
    </row>
    <row r="30" ht="18" customHeight="1">
      <c r="A30" s="54">
        <f>IF(E30&lt;&gt;"","MUD-"&amp;TEXT(ROW()-3,"000"),"")</f>
        <v/>
      </c>
      <c r="B30" s="55">
        <f>IF(E30&lt;&gt;"",TODAY(),"")</f>
        <v/>
      </c>
      <c r="C30" s="56" t="n"/>
      <c r="D30" s="57" t="n"/>
      <c r="E30" s="58" t="n"/>
      <c r="F30" s="58" t="n"/>
      <c r="G30" s="59" t="n"/>
      <c r="H30" s="58" t="n"/>
      <c r="I30" s="58" t="n"/>
      <c r="J30" s="60" t="n"/>
      <c r="K30" s="59" t="n"/>
      <c r="L30" s="61" t="n"/>
      <c r="M30" s="61" t="n"/>
      <c r="N30" s="62" t="n"/>
      <c r="O30" s="62" t="n"/>
      <c r="P30" s="63">
        <f>IF(N30&lt;&gt;"",N30-O30,"")</f>
        <v/>
      </c>
      <c r="Q30" s="59" t="n"/>
      <c r="R30" s="59" t="n"/>
      <c r="S30" s="59" t="n"/>
      <c r="T30" s="60" t="n"/>
      <c r="U30" s="64">
        <f>IF(E30&lt;&gt;"","MUD-"&amp;TEXT(ROW()-3,"000"),"")</f>
        <v/>
      </c>
      <c r="V30" s="61" t="n"/>
      <c r="W30" s="59" t="n"/>
      <c r="X30" s="57" t="n"/>
      <c r="Y30" s="57" t="n"/>
      <c r="Z30" s="57" t="n"/>
      <c r="AA30" s="65" t="n"/>
      <c r="AB30" s="66">
        <f>IF(AND(X30&lt;&gt;"",Z30&lt;&gt;""),IFERROR((Z30-X30)*24,""),"")</f>
        <v/>
      </c>
      <c r="AC30" s="59" t="n"/>
      <c r="AD30" s="59" t="n"/>
      <c r="AE30" s="59" t="n"/>
      <c r="AF30" s="59" t="n"/>
      <c r="AG30" s="59" t="n"/>
      <c r="AH30" s="59" t="n"/>
      <c r="AI30" s="59" t="n"/>
      <c r="AJ30" s="61" t="n"/>
      <c r="AK30" s="61" t="n"/>
    </row>
    <row r="31" ht="18" customHeight="1">
      <c r="A31" s="54">
        <f>IF(E31&lt;&gt;"","MUD-"&amp;TEXT(ROW()-3,"000"),"")</f>
        <v/>
      </c>
      <c r="B31" s="67">
        <f>IF(E31&lt;&gt;"",TODAY(),"")</f>
        <v/>
      </c>
      <c r="C31" s="68" t="n"/>
      <c r="D31" s="69" t="n"/>
      <c r="E31" s="70" t="n"/>
      <c r="F31" s="70" t="n"/>
      <c r="G31" s="71" t="n"/>
      <c r="H31" s="70" t="n"/>
      <c r="I31" s="70" t="n"/>
      <c r="J31" s="72" t="n"/>
      <c r="K31" s="71" t="n"/>
      <c r="L31" s="73" t="n"/>
      <c r="M31" s="73" t="n"/>
      <c r="N31" s="74" t="n"/>
      <c r="O31" s="74" t="n"/>
      <c r="P31" s="63">
        <f>IF(N31&lt;&gt;"",N31-O31,"")</f>
        <v/>
      </c>
      <c r="Q31" s="71" t="n"/>
      <c r="R31" s="71" t="n"/>
      <c r="S31" s="71" t="n"/>
      <c r="T31" s="72" t="n"/>
      <c r="U31" s="64">
        <f>IF(E31&lt;&gt;"","MUD-"&amp;TEXT(ROW()-3,"000"),"")</f>
        <v/>
      </c>
      <c r="V31" s="73" t="n"/>
      <c r="W31" s="71" t="n"/>
      <c r="X31" s="69" t="n"/>
      <c r="Y31" s="69" t="n"/>
      <c r="Z31" s="69" t="n"/>
      <c r="AA31" s="75" t="n"/>
      <c r="AB31" s="66">
        <f>IF(AND(X31&lt;&gt;"",Z31&lt;&gt;""),IFERROR((Z31-X31)*24,""),"")</f>
        <v/>
      </c>
      <c r="AC31" s="71" t="n"/>
      <c r="AD31" s="71" t="n"/>
      <c r="AE31" s="71" t="n"/>
      <c r="AF31" s="71" t="n"/>
      <c r="AG31" s="71" t="n"/>
      <c r="AH31" s="71" t="n"/>
      <c r="AI31" s="71" t="n"/>
      <c r="AJ31" s="73" t="n"/>
      <c r="AK31" s="73" t="n"/>
    </row>
    <row r="32" ht="18" customHeight="1">
      <c r="A32" s="54">
        <f>IF(E32&lt;&gt;"","MUD-"&amp;TEXT(ROW()-3,"000"),"")</f>
        <v/>
      </c>
      <c r="B32" s="55">
        <f>IF(E32&lt;&gt;"",TODAY(),"")</f>
        <v/>
      </c>
      <c r="C32" s="56" t="n"/>
      <c r="D32" s="57" t="n"/>
      <c r="E32" s="58" t="n"/>
      <c r="F32" s="58" t="n"/>
      <c r="G32" s="59" t="n"/>
      <c r="H32" s="58" t="n"/>
      <c r="I32" s="58" t="n"/>
      <c r="J32" s="60" t="n"/>
      <c r="K32" s="59" t="n"/>
      <c r="L32" s="61" t="n"/>
      <c r="M32" s="61" t="n"/>
      <c r="N32" s="62" t="n"/>
      <c r="O32" s="62" t="n"/>
      <c r="P32" s="63">
        <f>IF(N32&lt;&gt;"",N32-O32,"")</f>
        <v/>
      </c>
      <c r="Q32" s="59" t="n"/>
      <c r="R32" s="59" t="n"/>
      <c r="S32" s="59" t="n"/>
      <c r="T32" s="60" t="n"/>
      <c r="U32" s="64">
        <f>IF(E32&lt;&gt;"","MUD-"&amp;TEXT(ROW()-3,"000"),"")</f>
        <v/>
      </c>
      <c r="V32" s="61" t="n"/>
      <c r="W32" s="59" t="n"/>
      <c r="X32" s="57" t="n"/>
      <c r="Y32" s="57" t="n"/>
      <c r="Z32" s="57" t="n"/>
      <c r="AA32" s="65" t="n"/>
      <c r="AB32" s="66">
        <f>IF(AND(X32&lt;&gt;"",Z32&lt;&gt;""),IFERROR((Z32-X32)*24,""),"")</f>
        <v/>
      </c>
      <c r="AC32" s="59" t="n"/>
      <c r="AD32" s="59" t="n"/>
      <c r="AE32" s="59" t="n"/>
      <c r="AF32" s="59" t="n"/>
      <c r="AG32" s="59" t="n"/>
      <c r="AH32" s="59" t="n"/>
      <c r="AI32" s="59" t="n"/>
      <c r="AJ32" s="61" t="n"/>
      <c r="AK32" s="61" t="n"/>
    </row>
    <row r="33" ht="18" customHeight="1">
      <c r="A33" s="54">
        <f>IF(E33&lt;&gt;"","MUD-"&amp;TEXT(ROW()-3,"000"),"")</f>
        <v/>
      </c>
      <c r="B33" s="67">
        <f>IF(E33&lt;&gt;"",TODAY(),"")</f>
        <v/>
      </c>
      <c r="C33" s="68" t="n"/>
      <c r="D33" s="69" t="n"/>
      <c r="E33" s="70" t="n"/>
      <c r="F33" s="70" t="n"/>
      <c r="G33" s="71" t="n"/>
      <c r="H33" s="70" t="n"/>
      <c r="I33" s="70" t="n"/>
      <c r="J33" s="72" t="n"/>
      <c r="K33" s="71" t="n"/>
      <c r="L33" s="73" t="n"/>
      <c r="M33" s="73" t="n"/>
      <c r="N33" s="74" t="n"/>
      <c r="O33" s="74" t="n"/>
      <c r="P33" s="63">
        <f>IF(N33&lt;&gt;"",N33-O33,"")</f>
        <v/>
      </c>
      <c r="Q33" s="71" t="n"/>
      <c r="R33" s="71" t="n"/>
      <c r="S33" s="71" t="n"/>
      <c r="T33" s="72" t="n"/>
      <c r="U33" s="64">
        <f>IF(E33&lt;&gt;"","MUD-"&amp;TEXT(ROW()-3,"000"),"")</f>
        <v/>
      </c>
      <c r="V33" s="73" t="n"/>
      <c r="W33" s="71" t="n"/>
      <c r="X33" s="69" t="n"/>
      <c r="Y33" s="69" t="n"/>
      <c r="Z33" s="69" t="n"/>
      <c r="AA33" s="75" t="n"/>
      <c r="AB33" s="66">
        <f>IF(AND(X33&lt;&gt;"",Z33&lt;&gt;""),IFERROR((Z33-X33)*24,""),"")</f>
        <v/>
      </c>
      <c r="AC33" s="71" t="n"/>
      <c r="AD33" s="71" t="n"/>
      <c r="AE33" s="71" t="n"/>
      <c r="AF33" s="71" t="n"/>
      <c r="AG33" s="71" t="n"/>
      <c r="AH33" s="71" t="n"/>
      <c r="AI33" s="71" t="n"/>
      <c r="AJ33" s="73" t="n"/>
      <c r="AK33" s="73" t="n"/>
    </row>
    <row r="34" ht="18" customHeight="1">
      <c r="A34" s="54">
        <f>IF(E34&lt;&gt;"","MUD-"&amp;TEXT(ROW()-3,"000"),"")</f>
        <v/>
      </c>
      <c r="B34" s="55">
        <f>IF(E34&lt;&gt;"",TODAY(),"")</f>
        <v/>
      </c>
      <c r="C34" s="56" t="n"/>
      <c r="D34" s="57" t="n"/>
      <c r="E34" s="58" t="n"/>
      <c r="F34" s="58" t="n"/>
      <c r="G34" s="59" t="n"/>
      <c r="H34" s="58" t="n"/>
      <c r="I34" s="58" t="n"/>
      <c r="J34" s="60" t="n"/>
      <c r="K34" s="59" t="n"/>
      <c r="L34" s="61" t="n"/>
      <c r="M34" s="61" t="n"/>
      <c r="N34" s="62" t="n"/>
      <c r="O34" s="62" t="n"/>
      <c r="P34" s="63">
        <f>IF(N34&lt;&gt;"",N34-O34,"")</f>
        <v/>
      </c>
      <c r="Q34" s="59" t="n"/>
      <c r="R34" s="59" t="n"/>
      <c r="S34" s="59" t="n"/>
      <c r="T34" s="60" t="n"/>
      <c r="U34" s="64">
        <f>IF(E34&lt;&gt;"","MUD-"&amp;TEXT(ROW()-3,"000"),"")</f>
        <v/>
      </c>
      <c r="V34" s="61" t="n"/>
      <c r="W34" s="59" t="n"/>
      <c r="X34" s="57" t="n"/>
      <c r="Y34" s="57" t="n"/>
      <c r="Z34" s="57" t="n"/>
      <c r="AA34" s="65" t="n"/>
      <c r="AB34" s="66">
        <f>IF(AND(X34&lt;&gt;"",Z34&lt;&gt;""),IFERROR((Z34-X34)*24,""),"")</f>
        <v/>
      </c>
      <c r="AC34" s="59" t="n"/>
      <c r="AD34" s="59" t="n"/>
      <c r="AE34" s="59" t="n"/>
      <c r="AF34" s="59" t="n"/>
      <c r="AG34" s="59" t="n"/>
      <c r="AH34" s="59" t="n"/>
      <c r="AI34" s="59" t="n"/>
      <c r="AJ34" s="61" t="n"/>
      <c r="AK34" s="61" t="n"/>
    </row>
    <row r="35" ht="18" customHeight="1">
      <c r="A35" s="54">
        <f>IF(E35&lt;&gt;"","MUD-"&amp;TEXT(ROW()-3,"000"),"")</f>
        <v/>
      </c>
      <c r="B35" s="67">
        <f>IF(E35&lt;&gt;"",TODAY(),"")</f>
        <v/>
      </c>
      <c r="C35" s="68" t="n"/>
      <c r="D35" s="69" t="n"/>
      <c r="E35" s="70" t="n"/>
      <c r="F35" s="70" t="n"/>
      <c r="G35" s="71" t="n"/>
      <c r="H35" s="70" t="n"/>
      <c r="I35" s="70" t="n"/>
      <c r="J35" s="72" t="n"/>
      <c r="K35" s="71" t="n"/>
      <c r="L35" s="73" t="n"/>
      <c r="M35" s="73" t="n"/>
      <c r="N35" s="74" t="n"/>
      <c r="O35" s="74" t="n"/>
      <c r="P35" s="63">
        <f>IF(N35&lt;&gt;"",N35-O35,"")</f>
        <v/>
      </c>
      <c r="Q35" s="71" t="n"/>
      <c r="R35" s="71" t="n"/>
      <c r="S35" s="71" t="n"/>
      <c r="T35" s="72" t="n"/>
      <c r="U35" s="64">
        <f>IF(E35&lt;&gt;"","MUD-"&amp;TEXT(ROW()-3,"000"),"")</f>
        <v/>
      </c>
      <c r="V35" s="73" t="n"/>
      <c r="W35" s="71" t="n"/>
      <c r="X35" s="69" t="n"/>
      <c r="Y35" s="69" t="n"/>
      <c r="Z35" s="69" t="n"/>
      <c r="AA35" s="75" t="n"/>
      <c r="AB35" s="66">
        <f>IF(AND(X35&lt;&gt;"",Z35&lt;&gt;""),IFERROR((Z35-X35)*24,""),"")</f>
        <v/>
      </c>
      <c r="AC35" s="71" t="n"/>
      <c r="AD35" s="71" t="n"/>
      <c r="AE35" s="71" t="n"/>
      <c r="AF35" s="71" t="n"/>
      <c r="AG35" s="71" t="n"/>
      <c r="AH35" s="71" t="n"/>
      <c r="AI35" s="71" t="n"/>
      <c r="AJ35" s="73" t="n"/>
      <c r="AK35" s="73" t="n"/>
    </row>
    <row r="36" ht="18" customHeight="1">
      <c r="A36" s="54">
        <f>IF(E36&lt;&gt;"","MUD-"&amp;TEXT(ROW()-3,"000"),"")</f>
        <v/>
      </c>
      <c r="B36" s="55">
        <f>IF(E36&lt;&gt;"",TODAY(),"")</f>
        <v/>
      </c>
      <c r="C36" s="56" t="n"/>
      <c r="D36" s="57" t="n"/>
      <c r="E36" s="58" t="n"/>
      <c r="F36" s="58" t="n"/>
      <c r="G36" s="59" t="n"/>
      <c r="H36" s="58" t="n"/>
      <c r="I36" s="58" t="n"/>
      <c r="J36" s="60" t="n"/>
      <c r="K36" s="59" t="n"/>
      <c r="L36" s="61" t="n"/>
      <c r="M36" s="61" t="n"/>
      <c r="N36" s="62" t="n"/>
      <c r="O36" s="62" t="n"/>
      <c r="P36" s="63">
        <f>IF(N36&lt;&gt;"",N36-O36,"")</f>
        <v/>
      </c>
      <c r="Q36" s="59" t="n"/>
      <c r="R36" s="59" t="n"/>
      <c r="S36" s="59" t="n"/>
      <c r="T36" s="60" t="n"/>
      <c r="U36" s="64">
        <f>IF(E36&lt;&gt;"","MUD-"&amp;TEXT(ROW()-3,"000"),"")</f>
        <v/>
      </c>
      <c r="V36" s="61" t="n"/>
      <c r="W36" s="59" t="n"/>
      <c r="X36" s="57" t="n"/>
      <c r="Y36" s="57" t="n"/>
      <c r="Z36" s="57" t="n"/>
      <c r="AA36" s="65" t="n"/>
      <c r="AB36" s="66">
        <f>IF(AND(X36&lt;&gt;"",Z36&lt;&gt;""),IFERROR((Z36-X36)*24,""),"")</f>
        <v/>
      </c>
      <c r="AC36" s="59" t="n"/>
      <c r="AD36" s="59" t="n"/>
      <c r="AE36" s="59" t="n"/>
      <c r="AF36" s="59" t="n"/>
      <c r="AG36" s="59" t="n"/>
      <c r="AH36" s="59" t="n"/>
      <c r="AI36" s="59" t="n"/>
      <c r="AJ36" s="61" t="n"/>
      <c r="AK36" s="61" t="n"/>
    </row>
    <row r="37" ht="18" customHeight="1">
      <c r="A37" s="54">
        <f>IF(E37&lt;&gt;"","MUD-"&amp;TEXT(ROW()-3,"000"),"")</f>
        <v/>
      </c>
      <c r="B37" s="67">
        <f>IF(E37&lt;&gt;"",TODAY(),"")</f>
        <v/>
      </c>
      <c r="C37" s="68" t="n"/>
      <c r="D37" s="69" t="n"/>
      <c r="E37" s="70" t="n"/>
      <c r="F37" s="70" t="n"/>
      <c r="G37" s="71" t="n"/>
      <c r="H37" s="70" t="n"/>
      <c r="I37" s="70" t="n"/>
      <c r="J37" s="72" t="n"/>
      <c r="K37" s="71" t="n"/>
      <c r="L37" s="73" t="n"/>
      <c r="M37" s="73" t="n"/>
      <c r="N37" s="74" t="n"/>
      <c r="O37" s="74" t="n"/>
      <c r="P37" s="63">
        <f>IF(N37&lt;&gt;"",N37-O37,"")</f>
        <v/>
      </c>
      <c r="Q37" s="71" t="n"/>
      <c r="R37" s="71" t="n"/>
      <c r="S37" s="71" t="n"/>
      <c r="T37" s="72" t="n"/>
      <c r="U37" s="64">
        <f>IF(E37&lt;&gt;"","MUD-"&amp;TEXT(ROW()-3,"000"),"")</f>
        <v/>
      </c>
      <c r="V37" s="73" t="n"/>
      <c r="W37" s="71" t="n"/>
      <c r="X37" s="69" t="n"/>
      <c r="Y37" s="69" t="n"/>
      <c r="Z37" s="69" t="n"/>
      <c r="AA37" s="75" t="n"/>
      <c r="AB37" s="66">
        <f>IF(AND(X37&lt;&gt;"",Z37&lt;&gt;""),IFERROR((Z37-X37)*24,""),"")</f>
        <v/>
      </c>
      <c r="AC37" s="71" t="n"/>
      <c r="AD37" s="71" t="n"/>
      <c r="AE37" s="71" t="n"/>
      <c r="AF37" s="71" t="n"/>
      <c r="AG37" s="71" t="n"/>
      <c r="AH37" s="71" t="n"/>
      <c r="AI37" s="71" t="n"/>
      <c r="AJ37" s="73" t="n"/>
      <c r="AK37" s="73" t="n"/>
    </row>
    <row r="38" ht="18" customHeight="1">
      <c r="A38" s="54">
        <f>IF(E38&lt;&gt;"","MUD-"&amp;TEXT(ROW()-3,"000"),"")</f>
        <v/>
      </c>
      <c r="B38" s="55">
        <f>IF(E38&lt;&gt;"",TODAY(),"")</f>
        <v/>
      </c>
      <c r="C38" s="56" t="n"/>
      <c r="D38" s="57" t="n"/>
      <c r="E38" s="58" t="n"/>
      <c r="F38" s="58" t="n"/>
      <c r="G38" s="59" t="n"/>
      <c r="H38" s="58" t="n"/>
      <c r="I38" s="58" t="n"/>
      <c r="J38" s="60" t="n"/>
      <c r="K38" s="59" t="n"/>
      <c r="L38" s="61" t="n"/>
      <c r="M38" s="61" t="n"/>
      <c r="N38" s="62" t="n"/>
      <c r="O38" s="62" t="n"/>
      <c r="P38" s="63">
        <f>IF(N38&lt;&gt;"",N38-O38,"")</f>
        <v/>
      </c>
      <c r="Q38" s="59" t="n"/>
      <c r="R38" s="59" t="n"/>
      <c r="S38" s="59" t="n"/>
      <c r="T38" s="60" t="n"/>
      <c r="U38" s="64">
        <f>IF(E38&lt;&gt;"","MUD-"&amp;TEXT(ROW()-3,"000"),"")</f>
        <v/>
      </c>
      <c r="V38" s="61" t="n"/>
      <c r="W38" s="59" t="n"/>
      <c r="X38" s="57" t="n"/>
      <c r="Y38" s="57" t="n"/>
      <c r="Z38" s="57" t="n"/>
      <c r="AA38" s="65" t="n"/>
      <c r="AB38" s="66">
        <f>IF(AND(X38&lt;&gt;"",Z38&lt;&gt;""),IFERROR((Z38-X38)*24,""),"")</f>
        <v/>
      </c>
      <c r="AC38" s="59" t="n"/>
      <c r="AD38" s="59" t="n"/>
      <c r="AE38" s="59" t="n"/>
      <c r="AF38" s="59" t="n"/>
      <c r="AG38" s="59" t="n"/>
      <c r="AH38" s="59" t="n"/>
      <c r="AI38" s="59" t="n"/>
      <c r="AJ38" s="61" t="n"/>
      <c r="AK38" s="61" t="n"/>
    </row>
    <row r="39" ht="18" customHeight="1">
      <c r="A39" s="54">
        <f>IF(E39&lt;&gt;"","MUD-"&amp;TEXT(ROW()-3,"000"),"")</f>
        <v/>
      </c>
      <c r="B39" s="67">
        <f>IF(E39&lt;&gt;"",TODAY(),"")</f>
        <v/>
      </c>
      <c r="C39" s="68" t="n"/>
      <c r="D39" s="69" t="n"/>
      <c r="E39" s="70" t="n"/>
      <c r="F39" s="70" t="n"/>
      <c r="G39" s="71" t="n"/>
      <c r="H39" s="70" t="n"/>
      <c r="I39" s="70" t="n"/>
      <c r="J39" s="72" t="n"/>
      <c r="K39" s="71" t="n"/>
      <c r="L39" s="73" t="n"/>
      <c r="M39" s="73" t="n"/>
      <c r="N39" s="74" t="n"/>
      <c r="O39" s="74" t="n"/>
      <c r="P39" s="63">
        <f>IF(N39&lt;&gt;"",N39-O39,"")</f>
        <v/>
      </c>
      <c r="Q39" s="71" t="n"/>
      <c r="R39" s="71" t="n"/>
      <c r="S39" s="71" t="n"/>
      <c r="T39" s="72" t="n"/>
      <c r="U39" s="64">
        <f>IF(E39&lt;&gt;"","MUD-"&amp;TEXT(ROW()-3,"000"),"")</f>
        <v/>
      </c>
      <c r="V39" s="73" t="n"/>
      <c r="W39" s="71" t="n"/>
      <c r="X39" s="69" t="n"/>
      <c r="Y39" s="69" t="n"/>
      <c r="Z39" s="69" t="n"/>
      <c r="AA39" s="75" t="n"/>
      <c r="AB39" s="66">
        <f>IF(AND(X39&lt;&gt;"",Z39&lt;&gt;""),IFERROR((Z39-X39)*24,""),"")</f>
        <v/>
      </c>
      <c r="AC39" s="71" t="n"/>
      <c r="AD39" s="71" t="n"/>
      <c r="AE39" s="71" t="n"/>
      <c r="AF39" s="71" t="n"/>
      <c r="AG39" s="71" t="n"/>
      <c r="AH39" s="71" t="n"/>
      <c r="AI39" s="71" t="n"/>
      <c r="AJ39" s="73" t="n"/>
      <c r="AK39" s="73" t="n"/>
    </row>
    <row r="40" ht="18" customHeight="1">
      <c r="A40" s="54">
        <f>IF(E40&lt;&gt;"","MUD-"&amp;TEXT(ROW()-3,"000"),"")</f>
        <v/>
      </c>
      <c r="B40" s="55">
        <f>IF(E40&lt;&gt;"",TODAY(),"")</f>
        <v/>
      </c>
      <c r="C40" s="56" t="n"/>
      <c r="D40" s="57" t="n"/>
      <c r="E40" s="58" t="n"/>
      <c r="F40" s="58" t="n"/>
      <c r="G40" s="59" t="n"/>
      <c r="H40" s="58" t="n"/>
      <c r="I40" s="58" t="n"/>
      <c r="J40" s="60" t="n"/>
      <c r="K40" s="59" t="n"/>
      <c r="L40" s="61" t="n"/>
      <c r="M40" s="61" t="n"/>
      <c r="N40" s="62" t="n"/>
      <c r="O40" s="62" t="n"/>
      <c r="P40" s="63">
        <f>IF(N40&lt;&gt;"",N40-O40,"")</f>
        <v/>
      </c>
      <c r="Q40" s="59" t="n"/>
      <c r="R40" s="59" t="n"/>
      <c r="S40" s="59" t="n"/>
      <c r="T40" s="60" t="n"/>
      <c r="U40" s="64">
        <f>IF(E40&lt;&gt;"","MUD-"&amp;TEXT(ROW()-3,"000"),"")</f>
        <v/>
      </c>
      <c r="V40" s="61" t="n"/>
      <c r="W40" s="59" t="n"/>
      <c r="X40" s="57" t="n"/>
      <c r="Y40" s="57" t="n"/>
      <c r="Z40" s="57" t="n"/>
      <c r="AA40" s="65" t="n"/>
      <c r="AB40" s="66">
        <f>IF(AND(X40&lt;&gt;"",Z40&lt;&gt;""),IFERROR((Z40-X40)*24,""),"")</f>
        <v/>
      </c>
      <c r="AC40" s="59" t="n"/>
      <c r="AD40" s="59" t="n"/>
      <c r="AE40" s="59" t="n"/>
      <c r="AF40" s="59" t="n"/>
      <c r="AG40" s="59" t="n"/>
      <c r="AH40" s="59" t="n"/>
      <c r="AI40" s="59" t="n"/>
      <c r="AJ40" s="61" t="n"/>
      <c r="AK40" s="61" t="n"/>
    </row>
    <row r="41" ht="18" customHeight="1">
      <c r="A41" s="54">
        <f>IF(E41&lt;&gt;"","MUD-"&amp;TEXT(ROW()-3,"000"),"")</f>
        <v/>
      </c>
      <c r="B41" s="67">
        <f>IF(E41&lt;&gt;"",TODAY(),"")</f>
        <v/>
      </c>
      <c r="C41" s="68" t="n"/>
      <c r="D41" s="69" t="n"/>
      <c r="E41" s="70" t="n"/>
      <c r="F41" s="70" t="n"/>
      <c r="G41" s="71" t="n"/>
      <c r="H41" s="70" t="n"/>
      <c r="I41" s="70" t="n"/>
      <c r="J41" s="72" t="n"/>
      <c r="K41" s="71" t="n"/>
      <c r="L41" s="73" t="n"/>
      <c r="M41" s="73" t="n"/>
      <c r="N41" s="74" t="n"/>
      <c r="O41" s="74" t="n"/>
      <c r="P41" s="63">
        <f>IF(N41&lt;&gt;"",N41-O41,"")</f>
        <v/>
      </c>
      <c r="Q41" s="71" t="n"/>
      <c r="R41" s="71" t="n"/>
      <c r="S41" s="71" t="n"/>
      <c r="T41" s="72" t="n"/>
      <c r="U41" s="64">
        <f>IF(E41&lt;&gt;"","MUD-"&amp;TEXT(ROW()-3,"000"),"")</f>
        <v/>
      </c>
      <c r="V41" s="73" t="n"/>
      <c r="W41" s="71" t="n"/>
      <c r="X41" s="69" t="n"/>
      <c r="Y41" s="69" t="n"/>
      <c r="Z41" s="69" t="n"/>
      <c r="AA41" s="75" t="n"/>
      <c r="AB41" s="66">
        <f>IF(AND(X41&lt;&gt;"",Z41&lt;&gt;""),IFERROR((Z41-X41)*24,""),"")</f>
        <v/>
      </c>
      <c r="AC41" s="71" t="n"/>
      <c r="AD41" s="71" t="n"/>
      <c r="AE41" s="71" t="n"/>
      <c r="AF41" s="71" t="n"/>
      <c r="AG41" s="71" t="n"/>
      <c r="AH41" s="71" t="n"/>
      <c r="AI41" s="71" t="n"/>
      <c r="AJ41" s="73" t="n"/>
      <c r="AK41" s="73" t="n"/>
    </row>
    <row r="42" ht="18" customHeight="1">
      <c r="A42" s="54">
        <f>IF(E42&lt;&gt;"","MUD-"&amp;TEXT(ROW()-3,"000"),"")</f>
        <v/>
      </c>
      <c r="B42" s="55">
        <f>IF(E42&lt;&gt;"",TODAY(),"")</f>
        <v/>
      </c>
      <c r="C42" s="56" t="n"/>
      <c r="D42" s="57" t="n"/>
      <c r="E42" s="58" t="n"/>
      <c r="F42" s="58" t="n"/>
      <c r="G42" s="59" t="n"/>
      <c r="H42" s="58" t="n"/>
      <c r="I42" s="58" t="n"/>
      <c r="J42" s="60" t="n"/>
      <c r="K42" s="59" t="n"/>
      <c r="L42" s="61" t="n"/>
      <c r="M42" s="61" t="n"/>
      <c r="N42" s="62" t="n"/>
      <c r="O42" s="62" t="n"/>
      <c r="P42" s="63">
        <f>IF(N42&lt;&gt;"",N42-O42,"")</f>
        <v/>
      </c>
      <c r="Q42" s="59" t="n"/>
      <c r="R42" s="59" t="n"/>
      <c r="S42" s="59" t="n"/>
      <c r="T42" s="60" t="n"/>
      <c r="U42" s="64">
        <f>IF(E42&lt;&gt;"","MUD-"&amp;TEXT(ROW()-3,"000"),"")</f>
        <v/>
      </c>
      <c r="V42" s="61" t="n"/>
      <c r="W42" s="59" t="n"/>
      <c r="X42" s="57" t="n"/>
      <c r="Y42" s="57" t="n"/>
      <c r="Z42" s="57" t="n"/>
      <c r="AA42" s="65" t="n"/>
      <c r="AB42" s="66">
        <f>IF(AND(X42&lt;&gt;"",Z42&lt;&gt;""),IFERROR((Z42-X42)*24,""),"")</f>
        <v/>
      </c>
      <c r="AC42" s="59" t="n"/>
      <c r="AD42" s="59" t="n"/>
      <c r="AE42" s="59" t="n"/>
      <c r="AF42" s="59" t="n"/>
      <c r="AG42" s="59" t="n"/>
      <c r="AH42" s="59" t="n"/>
      <c r="AI42" s="59" t="n"/>
      <c r="AJ42" s="61" t="n"/>
      <c r="AK42" s="61" t="n"/>
    </row>
    <row r="43" ht="18" customHeight="1">
      <c r="A43" s="54">
        <f>IF(E43&lt;&gt;"","MUD-"&amp;TEXT(ROW()-3,"000"),"")</f>
        <v/>
      </c>
      <c r="B43" s="67">
        <f>IF(E43&lt;&gt;"",TODAY(),"")</f>
        <v/>
      </c>
      <c r="C43" s="68" t="n"/>
      <c r="D43" s="69" t="n"/>
      <c r="E43" s="70" t="n"/>
      <c r="F43" s="70" t="n"/>
      <c r="G43" s="71" t="n"/>
      <c r="H43" s="70" t="n"/>
      <c r="I43" s="70" t="n"/>
      <c r="J43" s="72" t="n"/>
      <c r="K43" s="71" t="n"/>
      <c r="L43" s="73" t="n"/>
      <c r="M43" s="73" t="n"/>
      <c r="N43" s="74" t="n"/>
      <c r="O43" s="74" t="n"/>
      <c r="P43" s="63">
        <f>IF(N43&lt;&gt;"",N43-O43,"")</f>
        <v/>
      </c>
      <c r="Q43" s="71" t="n"/>
      <c r="R43" s="71" t="n"/>
      <c r="S43" s="71" t="n"/>
      <c r="T43" s="72" t="n"/>
      <c r="U43" s="64">
        <f>IF(E43&lt;&gt;"","MUD-"&amp;TEXT(ROW()-3,"000"),"")</f>
        <v/>
      </c>
      <c r="V43" s="73" t="n"/>
      <c r="W43" s="71" t="n"/>
      <c r="X43" s="69" t="n"/>
      <c r="Y43" s="69" t="n"/>
      <c r="Z43" s="69" t="n"/>
      <c r="AA43" s="75" t="n"/>
      <c r="AB43" s="66">
        <f>IF(AND(X43&lt;&gt;"",Z43&lt;&gt;""),IFERROR((Z43-X43)*24,""),"")</f>
        <v/>
      </c>
      <c r="AC43" s="71" t="n"/>
      <c r="AD43" s="71" t="n"/>
      <c r="AE43" s="71" t="n"/>
      <c r="AF43" s="71" t="n"/>
      <c r="AG43" s="71" t="n"/>
      <c r="AH43" s="71" t="n"/>
      <c r="AI43" s="71" t="n"/>
      <c r="AJ43" s="73" t="n"/>
      <c r="AK43" s="73" t="n"/>
    </row>
    <row r="44" ht="18" customHeight="1">
      <c r="A44" s="54">
        <f>IF(E44&lt;&gt;"","MUD-"&amp;TEXT(ROW()-3,"000"),"")</f>
        <v/>
      </c>
      <c r="B44" s="55">
        <f>IF(E44&lt;&gt;"",TODAY(),"")</f>
        <v/>
      </c>
      <c r="C44" s="56" t="n"/>
      <c r="D44" s="57" t="n"/>
      <c r="E44" s="58" t="n"/>
      <c r="F44" s="58" t="n"/>
      <c r="G44" s="59" t="n"/>
      <c r="H44" s="58" t="n"/>
      <c r="I44" s="58" t="n"/>
      <c r="J44" s="60" t="n"/>
      <c r="K44" s="59" t="n"/>
      <c r="L44" s="61" t="n"/>
      <c r="M44" s="61" t="n"/>
      <c r="N44" s="62" t="n"/>
      <c r="O44" s="62" t="n"/>
      <c r="P44" s="63">
        <f>IF(N44&lt;&gt;"",N44-O44,"")</f>
        <v/>
      </c>
      <c r="Q44" s="59" t="n"/>
      <c r="R44" s="59" t="n"/>
      <c r="S44" s="59" t="n"/>
      <c r="T44" s="60" t="n"/>
      <c r="U44" s="64">
        <f>IF(E44&lt;&gt;"","MUD-"&amp;TEXT(ROW()-3,"000"),"")</f>
        <v/>
      </c>
      <c r="V44" s="61" t="n"/>
      <c r="W44" s="59" t="n"/>
      <c r="X44" s="57" t="n"/>
      <c r="Y44" s="57" t="n"/>
      <c r="Z44" s="57" t="n"/>
      <c r="AA44" s="65" t="n"/>
      <c r="AB44" s="66">
        <f>IF(AND(X44&lt;&gt;"",Z44&lt;&gt;""),IFERROR((Z44-X44)*24,""),"")</f>
        <v/>
      </c>
      <c r="AC44" s="59" t="n"/>
      <c r="AD44" s="59" t="n"/>
      <c r="AE44" s="59" t="n"/>
      <c r="AF44" s="59" t="n"/>
      <c r="AG44" s="59" t="n"/>
      <c r="AH44" s="59" t="n"/>
      <c r="AI44" s="59" t="n"/>
      <c r="AJ44" s="61" t="n"/>
      <c r="AK44" s="61" t="n"/>
    </row>
    <row r="45" ht="18" customHeight="1">
      <c r="A45" s="54">
        <f>IF(E45&lt;&gt;"","MUD-"&amp;TEXT(ROW()-3,"000"),"")</f>
        <v/>
      </c>
      <c r="B45" s="67">
        <f>IF(E45&lt;&gt;"",TODAY(),"")</f>
        <v/>
      </c>
      <c r="C45" s="68" t="n"/>
      <c r="D45" s="69" t="n"/>
      <c r="E45" s="70" t="n"/>
      <c r="F45" s="70" t="n"/>
      <c r="G45" s="71" t="n"/>
      <c r="H45" s="70" t="n"/>
      <c r="I45" s="70" t="n"/>
      <c r="J45" s="72" t="n"/>
      <c r="K45" s="71" t="n"/>
      <c r="L45" s="73" t="n"/>
      <c r="M45" s="73" t="n"/>
      <c r="N45" s="74" t="n"/>
      <c r="O45" s="74" t="n"/>
      <c r="P45" s="63">
        <f>IF(N45&lt;&gt;"",N45-O45,"")</f>
        <v/>
      </c>
      <c r="Q45" s="71" t="n"/>
      <c r="R45" s="71" t="n"/>
      <c r="S45" s="71" t="n"/>
      <c r="T45" s="72" t="n"/>
      <c r="U45" s="64">
        <f>IF(E45&lt;&gt;"","MUD-"&amp;TEXT(ROW()-3,"000"),"")</f>
        <v/>
      </c>
      <c r="V45" s="73" t="n"/>
      <c r="W45" s="71" t="n"/>
      <c r="X45" s="69" t="n"/>
      <c r="Y45" s="69" t="n"/>
      <c r="Z45" s="69" t="n"/>
      <c r="AA45" s="75" t="n"/>
      <c r="AB45" s="66">
        <f>IF(AND(X45&lt;&gt;"",Z45&lt;&gt;""),IFERROR((Z45-X45)*24,""),"")</f>
        <v/>
      </c>
      <c r="AC45" s="71" t="n"/>
      <c r="AD45" s="71" t="n"/>
      <c r="AE45" s="71" t="n"/>
      <c r="AF45" s="71" t="n"/>
      <c r="AG45" s="71" t="n"/>
      <c r="AH45" s="71" t="n"/>
      <c r="AI45" s="71" t="n"/>
      <c r="AJ45" s="73" t="n"/>
      <c r="AK45" s="73" t="n"/>
    </row>
    <row r="46" ht="18" customHeight="1">
      <c r="A46" s="54">
        <f>IF(E46&lt;&gt;"","MUD-"&amp;TEXT(ROW()-3,"000"),"")</f>
        <v/>
      </c>
      <c r="B46" s="55">
        <f>IF(E46&lt;&gt;"",TODAY(),"")</f>
        <v/>
      </c>
      <c r="C46" s="56" t="n"/>
      <c r="D46" s="57" t="n"/>
      <c r="E46" s="58" t="n"/>
      <c r="F46" s="58" t="n"/>
      <c r="G46" s="59" t="n"/>
      <c r="H46" s="58" t="n"/>
      <c r="I46" s="58" t="n"/>
      <c r="J46" s="60" t="n"/>
      <c r="K46" s="59" t="n"/>
      <c r="L46" s="61" t="n"/>
      <c r="M46" s="61" t="n"/>
      <c r="N46" s="62" t="n"/>
      <c r="O46" s="62" t="n"/>
      <c r="P46" s="63">
        <f>IF(N46&lt;&gt;"",N46-O46,"")</f>
        <v/>
      </c>
      <c r="Q46" s="59" t="n"/>
      <c r="R46" s="59" t="n"/>
      <c r="S46" s="59" t="n"/>
      <c r="T46" s="60" t="n"/>
      <c r="U46" s="64">
        <f>IF(E46&lt;&gt;"","MUD-"&amp;TEXT(ROW()-3,"000"),"")</f>
        <v/>
      </c>
      <c r="V46" s="61" t="n"/>
      <c r="W46" s="59" t="n"/>
      <c r="X46" s="57" t="n"/>
      <c r="Y46" s="57" t="n"/>
      <c r="Z46" s="57" t="n"/>
      <c r="AA46" s="65" t="n"/>
      <c r="AB46" s="66">
        <f>IF(AND(X46&lt;&gt;"",Z46&lt;&gt;""),IFERROR((Z46-X46)*24,""),"")</f>
        <v/>
      </c>
      <c r="AC46" s="59" t="n"/>
      <c r="AD46" s="59" t="n"/>
      <c r="AE46" s="59" t="n"/>
      <c r="AF46" s="59" t="n"/>
      <c r="AG46" s="59" t="n"/>
      <c r="AH46" s="59" t="n"/>
      <c r="AI46" s="59" t="n"/>
      <c r="AJ46" s="61" t="n"/>
      <c r="AK46" s="61" t="n"/>
    </row>
    <row r="47" ht="18" customHeight="1">
      <c r="A47" s="54">
        <f>IF(E47&lt;&gt;"","MUD-"&amp;TEXT(ROW()-3,"000"),"")</f>
        <v/>
      </c>
      <c r="B47" s="67">
        <f>IF(E47&lt;&gt;"",TODAY(),"")</f>
        <v/>
      </c>
      <c r="C47" s="68" t="n"/>
      <c r="D47" s="69" t="n"/>
      <c r="E47" s="70" t="n"/>
      <c r="F47" s="70" t="n"/>
      <c r="G47" s="71" t="n"/>
      <c r="H47" s="70" t="n"/>
      <c r="I47" s="70" t="n"/>
      <c r="J47" s="72" t="n"/>
      <c r="K47" s="71" t="n"/>
      <c r="L47" s="73" t="n"/>
      <c r="M47" s="73" t="n"/>
      <c r="N47" s="74" t="n"/>
      <c r="O47" s="74" t="n"/>
      <c r="P47" s="63">
        <f>IF(N47&lt;&gt;"",N47-O47,"")</f>
        <v/>
      </c>
      <c r="Q47" s="71" t="n"/>
      <c r="R47" s="71" t="n"/>
      <c r="S47" s="71" t="n"/>
      <c r="T47" s="72" t="n"/>
      <c r="U47" s="64">
        <f>IF(E47&lt;&gt;"","MUD-"&amp;TEXT(ROW()-3,"000"),"")</f>
        <v/>
      </c>
      <c r="V47" s="73" t="n"/>
      <c r="W47" s="71" t="n"/>
      <c r="X47" s="69" t="n"/>
      <c r="Y47" s="69" t="n"/>
      <c r="Z47" s="69" t="n"/>
      <c r="AA47" s="75" t="n"/>
      <c r="AB47" s="66">
        <f>IF(AND(X47&lt;&gt;"",Z47&lt;&gt;""),IFERROR((Z47-X47)*24,""),"")</f>
        <v/>
      </c>
      <c r="AC47" s="71" t="n"/>
      <c r="AD47" s="71" t="n"/>
      <c r="AE47" s="71" t="n"/>
      <c r="AF47" s="71" t="n"/>
      <c r="AG47" s="71" t="n"/>
      <c r="AH47" s="71" t="n"/>
      <c r="AI47" s="71" t="n"/>
      <c r="AJ47" s="73" t="n"/>
      <c r="AK47" s="73" t="n"/>
    </row>
    <row r="48" ht="18" customHeight="1">
      <c r="A48" s="54">
        <f>IF(E48&lt;&gt;"","MUD-"&amp;TEXT(ROW()-3,"000"),"")</f>
        <v/>
      </c>
      <c r="B48" s="55">
        <f>IF(E48&lt;&gt;"",TODAY(),"")</f>
        <v/>
      </c>
      <c r="C48" s="56" t="n"/>
      <c r="D48" s="57" t="n"/>
      <c r="E48" s="58" t="n"/>
      <c r="F48" s="58" t="n"/>
      <c r="G48" s="59" t="n"/>
      <c r="H48" s="58" t="n"/>
      <c r="I48" s="58" t="n"/>
      <c r="J48" s="60" t="n"/>
      <c r="K48" s="59" t="n"/>
      <c r="L48" s="61" t="n"/>
      <c r="M48" s="61" t="n"/>
      <c r="N48" s="62" t="n"/>
      <c r="O48" s="62" t="n"/>
      <c r="P48" s="63">
        <f>IF(N48&lt;&gt;"",N48-O48,"")</f>
        <v/>
      </c>
      <c r="Q48" s="59" t="n"/>
      <c r="R48" s="59" t="n"/>
      <c r="S48" s="59" t="n"/>
      <c r="T48" s="60" t="n"/>
      <c r="U48" s="64">
        <f>IF(E48&lt;&gt;"","MUD-"&amp;TEXT(ROW()-3,"000"),"")</f>
        <v/>
      </c>
      <c r="V48" s="61" t="n"/>
      <c r="W48" s="59" t="n"/>
      <c r="X48" s="57" t="n"/>
      <c r="Y48" s="57" t="n"/>
      <c r="Z48" s="57" t="n"/>
      <c r="AA48" s="65" t="n"/>
      <c r="AB48" s="66">
        <f>IF(AND(X48&lt;&gt;"",Z48&lt;&gt;""),IFERROR((Z48-X48)*24,""),"")</f>
        <v/>
      </c>
      <c r="AC48" s="59" t="n"/>
      <c r="AD48" s="59" t="n"/>
      <c r="AE48" s="59" t="n"/>
      <c r="AF48" s="59" t="n"/>
      <c r="AG48" s="59" t="n"/>
      <c r="AH48" s="59" t="n"/>
      <c r="AI48" s="59" t="n"/>
      <c r="AJ48" s="61" t="n"/>
      <c r="AK48" s="61" t="n"/>
    </row>
    <row r="49" ht="18" customHeight="1">
      <c r="A49" s="54">
        <f>IF(E49&lt;&gt;"","MUD-"&amp;TEXT(ROW()-3,"000"),"")</f>
        <v/>
      </c>
      <c r="B49" s="67">
        <f>IF(E49&lt;&gt;"",TODAY(),"")</f>
        <v/>
      </c>
      <c r="C49" s="68" t="n"/>
      <c r="D49" s="69" t="n"/>
      <c r="E49" s="70" t="n"/>
      <c r="F49" s="70" t="n"/>
      <c r="G49" s="71" t="n"/>
      <c r="H49" s="70" t="n"/>
      <c r="I49" s="70" t="n"/>
      <c r="J49" s="72" t="n"/>
      <c r="K49" s="71" t="n"/>
      <c r="L49" s="73" t="n"/>
      <c r="M49" s="73" t="n"/>
      <c r="N49" s="74" t="n"/>
      <c r="O49" s="74" t="n"/>
      <c r="P49" s="63">
        <f>IF(N49&lt;&gt;"",N49-O49,"")</f>
        <v/>
      </c>
      <c r="Q49" s="71" t="n"/>
      <c r="R49" s="71" t="n"/>
      <c r="S49" s="71" t="n"/>
      <c r="T49" s="72" t="n"/>
      <c r="U49" s="64">
        <f>IF(E49&lt;&gt;"","MUD-"&amp;TEXT(ROW()-3,"000"),"")</f>
        <v/>
      </c>
      <c r="V49" s="73" t="n"/>
      <c r="W49" s="71" t="n"/>
      <c r="X49" s="69" t="n"/>
      <c r="Y49" s="69" t="n"/>
      <c r="Z49" s="69" t="n"/>
      <c r="AA49" s="75" t="n"/>
      <c r="AB49" s="66">
        <f>IF(AND(X49&lt;&gt;"",Z49&lt;&gt;""),IFERROR((Z49-X49)*24,""),"")</f>
        <v/>
      </c>
      <c r="AC49" s="71" t="n"/>
      <c r="AD49" s="71" t="n"/>
      <c r="AE49" s="71" t="n"/>
      <c r="AF49" s="71" t="n"/>
      <c r="AG49" s="71" t="n"/>
      <c r="AH49" s="71" t="n"/>
      <c r="AI49" s="71" t="n"/>
      <c r="AJ49" s="73" t="n"/>
      <c r="AK49" s="73" t="n"/>
    </row>
    <row r="50" ht="18" customHeight="1">
      <c r="A50" s="54">
        <f>IF(E50&lt;&gt;"","MUD-"&amp;TEXT(ROW()-3,"000"),"")</f>
        <v/>
      </c>
      <c r="B50" s="55">
        <f>IF(E50&lt;&gt;"",TODAY(),"")</f>
        <v/>
      </c>
      <c r="C50" s="56" t="n"/>
      <c r="D50" s="57" t="n"/>
      <c r="E50" s="58" t="n"/>
      <c r="F50" s="58" t="n"/>
      <c r="G50" s="59" t="n"/>
      <c r="H50" s="58" t="n"/>
      <c r="I50" s="58" t="n"/>
      <c r="J50" s="60" t="n"/>
      <c r="K50" s="59" t="n"/>
      <c r="L50" s="61" t="n"/>
      <c r="M50" s="61" t="n"/>
      <c r="N50" s="62" t="n"/>
      <c r="O50" s="62" t="n"/>
      <c r="P50" s="63">
        <f>IF(N50&lt;&gt;"",N50-O50,"")</f>
        <v/>
      </c>
      <c r="Q50" s="59" t="n"/>
      <c r="R50" s="59" t="n"/>
      <c r="S50" s="59" t="n"/>
      <c r="T50" s="60" t="n"/>
      <c r="U50" s="64">
        <f>IF(E50&lt;&gt;"","MUD-"&amp;TEXT(ROW()-3,"000"),"")</f>
        <v/>
      </c>
      <c r="V50" s="61" t="n"/>
      <c r="W50" s="59" t="n"/>
      <c r="X50" s="57" t="n"/>
      <c r="Y50" s="57" t="n"/>
      <c r="Z50" s="57" t="n"/>
      <c r="AA50" s="65" t="n"/>
      <c r="AB50" s="66">
        <f>IF(AND(X50&lt;&gt;"",Z50&lt;&gt;""),IFERROR((Z50-X50)*24,""),"")</f>
        <v/>
      </c>
      <c r="AC50" s="59" t="n"/>
      <c r="AD50" s="59" t="n"/>
      <c r="AE50" s="59" t="n"/>
      <c r="AF50" s="59" t="n"/>
      <c r="AG50" s="59" t="n"/>
      <c r="AH50" s="59" t="n"/>
      <c r="AI50" s="59" t="n"/>
      <c r="AJ50" s="61" t="n"/>
      <c r="AK50" s="61" t="n"/>
    </row>
    <row r="51" ht="18" customHeight="1">
      <c r="A51" s="54">
        <f>IF(E51&lt;&gt;"","MUD-"&amp;TEXT(ROW()-3,"000"),"")</f>
        <v/>
      </c>
      <c r="B51" s="67">
        <f>IF(E51&lt;&gt;"",TODAY(),"")</f>
        <v/>
      </c>
      <c r="C51" s="68" t="n"/>
      <c r="D51" s="69" t="n"/>
      <c r="E51" s="70" t="n"/>
      <c r="F51" s="70" t="n"/>
      <c r="G51" s="71" t="n"/>
      <c r="H51" s="70" t="n"/>
      <c r="I51" s="70" t="n"/>
      <c r="J51" s="72" t="n"/>
      <c r="K51" s="71" t="n"/>
      <c r="L51" s="73" t="n"/>
      <c r="M51" s="73" t="n"/>
      <c r="N51" s="74" t="n"/>
      <c r="O51" s="74" t="n"/>
      <c r="P51" s="63">
        <f>IF(N51&lt;&gt;"",N51-O51,"")</f>
        <v/>
      </c>
      <c r="Q51" s="71" t="n"/>
      <c r="R51" s="71" t="n"/>
      <c r="S51" s="71" t="n"/>
      <c r="T51" s="72" t="n"/>
      <c r="U51" s="64">
        <f>IF(E51&lt;&gt;"","MUD-"&amp;TEXT(ROW()-3,"000"),"")</f>
        <v/>
      </c>
      <c r="V51" s="73" t="n"/>
      <c r="W51" s="71" t="n"/>
      <c r="X51" s="69" t="n"/>
      <c r="Y51" s="69" t="n"/>
      <c r="Z51" s="69" t="n"/>
      <c r="AA51" s="75" t="n"/>
      <c r="AB51" s="66">
        <f>IF(AND(X51&lt;&gt;"",Z51&lt;&gt;""),IFERROR((Z51-X51)*24,""),"")</f>
        <v/>
      </c>
      <c r="AC51" s="71" t="n"/>
      <c r="AD51" s="71" t="n"/>
      <c r="AE51" s="71" t="n"/>
      <c r="AF51" s="71" t="n"/>
      <c r="AG51" s="71" t="n"/>
      <c r="AH51" s="71" t="n"/>
      <c r="AI51" s="71" t="n"/>
      <c r="AJ51" s="73" t="n"/>
      <c r="AK51" s="73" t="n"/>
    </row>
    <row r="52" ht="18" customHeight="1">
      <c r="A52" s="54">
        <f>IF(E52&lt;&gt;"","MUD-"&amp;TEXT(ROW()-3,"000"),"")</f>
        <v/>
      </c>
      <c r="B52" s="55">
        <f>IF(E52&lt;&gt;"",TODAY(),"")</f>
        <v/>
      </c>
      <c r="C52" s="56" t="n"/>
      <c r="D52" s="57" t="n"/>
      <c r="E52" s="58" t="n"/>
      <c r="F52" s="58" t="n"/>
      <c r="G52" s="59" t="n"/>
      <c r="H52" s="58" t="n"/>
      <c r="I52" s="58" t="n"/>
      <c r="J52" s="60" t="n"/>
      <c r="K52" s="59" t="n"/>
      <c r="L52" s="61" t="n"/>
      <c r="M52" s="61" t="n"/>
      <c r="N52" s="62" t="n"/>
      <c r="O52" s="62" t="n"/>
      <c r="P52" s="63">
        <f>IF(N52&lt;&gt;"",N52-O52,"")</f>
        <v/>
      </c>
      <c r="Q52" s="59" t="n"/>
      <c r="R52" s="59" t="n"/>
      <c r="S52" s="59" t="n"/>
      <c r="T52" s="60" t="n"/>
      <c r="U52" s="64">
        <f>IF(E52&lt;&gt;"","MUD-"&amp;TEXT(ROW()-3,"000"),"")</f>
        <v/>
      </c>
      <c r="V52" s="61" t="n"/>
      <c r="W52" s="59" t="n"/>
      <c r="X52" s="57" t="n"/>
      <c r="Y52" s="57" t="n"/>
      <c r="Z52" s="57" t="n"/>
      <c r="AA52" s="65" t="n"/>
      <c r="AB52" s="66">
        <f>IF(AND(X52&lt;&gt;"",Z52&lt;&gt;""),IFERROR((Z52-X52)*24,""),"")</f>
        <v/>
      </c>
      <c r="AC52" s="59" t="n"/>
      <c r="AD52" s="59" t="n"/>
      <c r="AE52" s="59" t="n"/>
      <c r="AF52" s="59" t="n"/>
      <c r="AG52" s="59" t="n"/>
      <c r="AH52" s="59" t="n"/>
      <c r="AI52" s="59" t="n"/>
      <c r="AJ52" s="61" t="n"/>
      <c r="AK52" s="61" t="n"/>
    </row>
    <row r="53" ht="18" customHeight="1">
      <c r="A53" s="54">
        <f>IF(E53&lt;&gt;"","MUD-"&amp;TEXT(ROW()-3,"000"),"")</f>
        <v/>
      </c>
      <c r="B53" s="67">
        <f>IF(E53&lt;&gt;"",TODAY(),"")</f>
        <v/>
      </c>
      <c r="C53" s="68" t="n"/>
      <c r="D53" s="69" t="n"/>
      <c r="E53" s="70" t="n"/>
      <c r="F53" s="70" t="n"/>
      <c r="G53" s="71" t="n"/>
      <c r="H53" s="70" t="n"/>
      <c r="I53" s="70" t="n"/>
      <c r="J53" s="72" t="n"/>
      <c r="K53" s="71" t="n"/>
      <c r="L53" s="73" t="n"/>
      <c r="M53" s="73" t="n"/>
      <c r="N53" s="74" t="n"/>
      <c r="O53" s="74" t="n"/>
      <c r="P53" s="63">
        <f>IF(N53&lt;&gt;"",N53-O53,"")</f>
        <v/>
      </c>
      <c r="Q53" s="71" t="n"/>
      <c r="R53" s="71" t="n"/>
      <c r="S53" s="71" t="n"/>
      <c r="T53" s="72" t="n"/>
      <c r="U53" s="64">
        <f>IF(E53&lt;&gt;"","MUD-"&amp;TEXT(ROW()-3,"000"),"")</f>
        <v/>
      </c>
      <c r="V53" s="73" t="n"/>
      <c r="W53" s="71" t="n"/>
      <c r="X53" s="69" t="n"/>
      <c r="Y53" s="69" t="n"/>
      <c r="Z53" s="69" t="n"/>
      <c r="AA53" s="75" t="n"/>
      <c r="AB53" s="66">
        <f>IF(AND(X53&lt;&gt;"",Z53&lt;&gt;""),IFERROR((Z53-X53)*24,""),"")</f>
        <v/>
      </c>
      <c r="AC53" s="71" t="n"/>
      <c r="AD53" s="71" t="n"/>
      <c r="AE53" s="71" t="n"/>
      <c r="AF53" s="71" t="n"/>
      <c r="AG53" s="71" t="n"/>
      <c r="AH53" s="71" t="n"/>
      <c r="AI53" s="71" t="n"/>
      <c r="AJ53" s="73" t="n"/>
      <c r="AK53" s="73" t="n"/>
    </row>
    <row r="54" ht="18" customHeight="1">
      <c r="A54" s="54">
        <f>IF(E54&lt;&gt;"","MUD-"&amp;TEXT(ROW()-3,"000"),"")</f>
        <v/>
      </c>
      <c r="B54" s="55">
        <f>IF(E54&lt;&gt;"",TODAY(),"")</f>
        <v/>
      </c>
      <c r="C54" s="56" t="n"/>
      <c r="D54" s="57" t="n"/>
      <c r="E54" s="58" t="n"/>
      <c r="F54" s="58" t="n"/>
      <c r="G54" s="59" t="n"/>
      <c r="H54" s="58" t="n"/>
      <c r="I54" s="58" t="n"/>
      <c r="J54" s="60" t="n"/>
      <c r="K54" s="59" t="n"/>
      <c r="L54" s="61" t="n"/>
      <c r="M54" s="61" t="n"/>
      <c r="N54" s="62" t="n"/>
      <c r="O54" s="62" t="n"/>
      <c r="P54" s="63">
        <f>IF(N54&lt;&gt;"",N54-O54,"")</f>
        <v/>
      </c>
      <c r="Q54" s="59" t="n"/>
      <c r="R54" s="59" t="n"/>
      <c r="S54" s="59" t="n"/>
      <c r="T54" s="60" t="n"/>
      <c r="U54" s="64">
        <f>IF(E54&lt;&gt;"","MUD-"&amp;TEXT(ROW()-3,"000"),"")</f>
        <v/>
      </c>
      <c r="V54" s="61" t="n"/>
      <c r="W54" s="59" t="n"/>
      <c r="X54" s="57" t="n"/>
      <c r="Y54" s="57" t="n"/>
      <c r="Z54" s="57" t="n"/>
      <c r="AA54" s="65" t="n"/>
      <c r="AB54" s="66">
        <f>IF(AND(X54&lt;&gt;"",Z54&lt;&gt;""),IFERROR((Z54-X54)*24,""),"")</f>
        <v/>
      </c>
      <c r="AC54" s="59" t="n"/>
      <c r="AD54" s="59" t="n"/>
      <c r="AE54" s="59" t="n"/>
      <c r="AF54" s="59" t="n"/>
      <c r="AG54" s="59" t="n"/>
      <c r="AH54" s="59" t="n"/>
      <c r="AI54" s="59" t="n"/>
      <c r="AJ54" s="61" t="n"/>
      <c r="AK54" s="61" t="n"/>
    </row>
    <row r="55" ht="18" customHeight="1">
      <c r="A55" s="54">
        <f>IF(E55&lt;&gt;"","MUD-"&amp;TEXT(ROW()-3,"000"),"")</f>
        <v/>
      </c>
      <c r="B55" s="67">
        <f>IF(E55&lt;&gt;"",TODAY(),"")</f>
        <v/>
      </c>
      <c r="C55" s="68" t="n"/>
      <c r="D55" s="69" t="n"/>
      <c r="E55" s="70" t="n"/>
      <c r="F55" s="70" t="n"/>
      <c r="G55" s="71" t="n"/>
      <c r="H55" s="70" t="n"/>
      <c r="I55" s="70" t="n"/>
      <c r="J55" s="72" t="n"/>
      <c r="K55" s="71" t="n"/>
      <c r="L55" s="73" t="n"/>
      <c r="M55" s="73" t="n"/>
      <c r="N55" s="74" t="n"/>
      <c r="O55" s="74" t="n"/>
      <c r="P55" s="63">
        <f>IF(N55&lt;&gt;"",N55-O55,"")</f>
        <v/>
      </c>
      <c r="Q55" s="71" t="n"/>
      <c r="R55" s="71" t="n"/>
      <c r="S55" s="71" t="n"/>
      <c r="T55" s="72" t="n"/>
      <c r="U55" s="64">
        <f>IF(E55&lt;&gt;"","MUD-"&amp;TEXT(ROW()-3,"000"),"")</f>
        <v/>
      </c>
      <c r="V55" s="73" t="n"/>
      <c r="W55" s="71" t="n"/>
      <c r="X55" s="69" t="n"/>
      <c r="Y55" s="69" t="n"/>
      <c r="Z55" s="69" t="n"/>
      <c r="AA55" s="75" t="n"/>
      <c r="AB55" s="66">
        <f>IF(AND(X55&lt;&gt;"",Z55&lt;&gt;""),IFERROR((Z55-X55)*24,""),"")</f>
        <v/>
      </c>
      <c r="AC55" s="71" t="n"/>
      <c r="AD55" s="71" t="n"/>
      <c r="AE55" s="71" t="n"/>
      <c r="AF55" s="71" t="n"/>
      <c r="AG55" s="71" t="n"/>
      <c r="AH55" s="71" t="n"/>
      <c r="AI55" s="71" t="n"/>
      <c r="AJ55" s="73" t="n"/>
      <c r="AK55" s="73" t="n"/>
    </row>
    <row r="56" ht="18" customHeight="1">
      <c r="A56" s="54">
        <f>IF(E56&lt;&gt;"","MUD-"&amp;TEXT(ROW()-3,"000"),"")</f>
        <v/>
      </c>
      <c r="B56" s="55">
        <f>IF(E56&lt;&gt;"",TODAY(),"")</f>
        <v/>
      </c>
      <c r="C56" s="56" t="n"/>
      <c r="D56" s="57" t="n"/>
      <c r="E56" s="58" t="n"/>
      <c r="F56" s="58" t="n"/>
      <c r="G56" s="59" t="n"/>
      <c r="H56" s="58" t="n"/>
      <c r="I56" s="58" t="n"/>
      <c r="J56" s="60" t="n"/>
      <c r="K56" s="59" t="n"/>
      <c r="L56" s="61" t="n"/>
      <c r="M56" s="61" t="n"/>
      <c r="N56" s="62" t="n"/>
      <c r="O56" s="62" t="n"/>
      <c r="P56" s="63">
        <f>IF(N56&lt;&gt;"",N56-O56,"")</f>
        <v/>
      </c>
      <c r="Q56" s="59" t="n"/>
      <c r="R56" s="59" t="n"/>
      <c r="S56" s="59" t="n"/>
      <c r="T56" s="60" t="n"/>
      <c r="U56" s="64">
        <f>IF(E56&lt;&gt;"","MUD-"&amp;TEXT(ROW()-3,"000"),"")</f>
        <v/>
      </c>
      <c r="V56" s="61" t="n"/>
      <c r="W56" s="59" t="n"/>
      <c r="X56" s="57" t="n"/>
      <c r="Y56" s="57" t="n"/>
      <c r="Z56" s="57" t="n"/>
      <c r="AA56" s="65" t="n"/>
      <c r="AB56" s="66">
        <f>IF(AND(X56&lt;&gt;"",Z56&lt;&gt;""),IFERROR((Z56-X56)*24,""),"")</f>
        <v/>
      </c>
      <c r="AC56" s="59" t="n"/>
      <c r="AD56" s="59" t="n"/>
      <c r="AE56" s="59" t="n"/>
      <c r="AF56" s="59" t="n"/>
      <c r="AG56" s="59" t="n"/>
      <c r="AH56" s="59" t="n"/>
      <c r="AI56" s="59" t="n"/>
      <c r="AJ56" s="61" t="n"/>
      <c r="AK56" s="61" t="n"/>
    </row>
    <row r="57" ht="18" customHeight="1">
      <c r="A57" s="54">
        <f>IF(E57&lt;&gt;"","MUD-"&amp;TEXT(ROW()-3,"000"),"")</f>
        <v/>
      </c>
      <c r="B57" s="67">
        <f>IF(E57&lt;&gt;"",TODAY(),"")</f>
        <v/>
      </c>
      <c r="C57" s="68" t="n"/>
      <c r="D57" s="69" t="n"/>
      <c r="E57" s="70" t="n"/>
      <c r="F57" s="70" t="n"/>
      <c r="G57" s="71" t="n"/>
      <c r="H57" s="70" t="n"/>
      <c r="I57" s="70" t="n"/>
      <c r="J57" s="72" t="n"/>
      <c r="K57" s="71" t="n"/>
      <c r="L57" s="73" t="n"/>
      <c r="M57" s="73" t="n"/>
      <c r="N57" s="74" t="n"/>
      <c r="O57" s="74" t="n"/>
      <c r="P57" s="63">
        <f>IF(N57&lt;&gt;"",N57-O57,"")</f>
        <v/>
      </c>
      <c r="Q57" s="71" t="n"/>
      <c r="R57" s="71" t="n"/>
      <c r="S57" s="71" t="n"/>
      <c r="T57" s="72" t="n"/>
      <c r="U57" s="64">
        <f>IF(E57&lt;&gt;"","MUD-"&amp;TEXT(ROW()-3,"000"),"")</f>
        <v/>
      </c>
      <c r="V57" s="73" t="n"/>
      <c r="W57" s="71" t="n"/>
      <c r="X57" s="69" t="n"/>
      <c r="Y57" s="69" t="n"/>
      <c r="Z57" s="69" t="n"/>
      <c r="AA57" s="75" t="n"/>
      <c r="AB57" s="66">
        <f>IF(AND(X57&lt;&gt;"",Z57&lt;&gt;""),IFERROR((Z57-X57)*24,""),"")</f>
        <v/>
      </c>
      <c r="AC57" s="71" t="n"/>
      <c r="AD57" s="71" t="n"/>
      <c r="AE57" s="71" t="n"/>
      <c r="AF57" s="71" t="n"/>
      <c r="AG57" s="71" t="n"/>
      <c r="AH57" s="71" t="n"/>
      <c r="AI57" s="71" t="n"/>
      <c r="AJ57" s="73" t="n"/>
      <c r="AK57" s="73" t="n"/>
    </row>
    <row r="58" ht="18" customHeight="1">
      <c r="A58" s="54">
        <f>IF(E58&lt;&gt;"","MUD-"&amp;TEXT(ROW()-3,"000"),"")</f>
        <v/>
      </c>
      <c r="B58" s="55">
        <f>IF(E58&lt;&gt;"",TODAY(),"")</f>
        <v/>
      </c>
      <c r="C58" s="56" t="n"/>
      <c r="D58" s="57" t="n"/>
      <c r="E58" s="58" t="n"/>
      <c r="F58" s="58" t="n"/>
      <c r="G58" s="59" t="n"/>
      <c r="H58" s="58" t="n"/>
      <c r="I58" s="58" t="n"/>
      <c r="J58" s="60" t="n"/>
      <c r="K58" s="59" t="n"/>
      <c r="L58" s="61" t="n"/>
      <c r="M58" s="61" t="n"/>
      <c r="N58" s="62" t="n"/>
      <c r="O58" s="62" t="n"/>
      <c r="P58" s="63">
        <f>IF(N58&lt;&gt;"",N58-O58,"")</f>
        <v/>
      </c>
      <c r="Q58" s="59" t="n"/>
      <c r="R58" s="59" t="n"/>
      <c r="S58" s="59" t="n"/>
      <c r="T58" s="60" t="n"/>
      <c r="U58" s="64">
        <f>IF(E58&lt;&gt;"","MUD-"&amp;TEXT(ROW()-3,"000"),"")</f>
        <v/>
      </c>
      <c r="V58" s="61" t="n"/>
      <c r="W58" s="59" t="n"/>
      <c r="X58" s="57" t="n"/>
      <c r="Y58" s="57" t="n"/>
      <c r="Z58" s="57" t="n"/>
      <c r="AA58" s="65" t="n"/>
      <c r="AB58" s="66">
        <f>IF(AND(X58&lt;&gt;"",Z58&lt;&gt;""),IFERROR((Z58-X58)*24,""),"")</f>
        <v/>
      </c>
      <c r="AC58" s="59" t="n"/>
      <c r="AD58" s="59" t="n"/>
      <c r="AE58" s="59" t="n"/>
      <c r="AF58" s="59" t="n"/>
      <c r="AG58" s="59" t="n"/>
      <c r="AH58" s="59" t="n"/>
      <c r="AI58" s="59" t="n"/>
      <c r="AJ58" s="61" t="n"/>
      <c r="AK58" s="61" t="n"/>
    </row>
    <row r="59" ht="18" customHeight="1">
      <c r="A59" s="54">
        <f>IF(E59&lt;&gt;"","MUD-"&amp;TEXT(ROW()-3,"000"),"")</f>
        <v/>
      </c>
      <c r="B59" s="67">
        <f>IF(E59&lt;&gt;"",TODAY(),"")</f>
        <v/>
      </c>
      <c r="C59" s="68" t="n"/>
      <c r="D59" s="69" t="n"/>
      <c r="E59" s="70" t="n"/>
      <c r="F59" s="70" t="n"/>
      <c r="G59" s="71" t="n"/>
      <c r="H59" s="70" t="n"/>
      <c r="I59" s="70" t="n"/>
      <c r="J59" s="72" t="n"/>
      <c r="K59" s="71" t="n"/>
      <c r="L59" s="73" t="n"/>
      <c r="M59" s="73" t="n"/>
      <c r="N59" s="74" t="n"/>
      <c r="O59" s="74" t="n"/>
      <c r="P59" s="63">
        <f>IF(N59&lt;&gt;"",N59-O59,"")</f>
        <v/>
      </c>
      <c r="Q59" s="71" t="n"/>
      <c r="R59" s="71" t="n"/>
      <c r="S59" s="71" t="n"/>
      <c r="T59" s="72" t="n"/>
      <c r="U59" s="64">
        <f>IF(E59&lt;&gt;"","MUD-"&amp;TEXT(ROW()-3,"000"),"")</f>
        <v/>
      </c>
      <c r="V59" s="73" t="n"/>
      <c r="W59" s="71" t="n"/>
      <c r="X59" s="69" t="n"/>
      <c r="Y59" s="69" t="n"/>
      <c r="Z59" s="69" t="n"/>
      <c r="AA59" s="75" t="n"/>
      <c r="AB59" s="66">
        <f>IF(AND(X59&lt;&gt;"",Z59&lt;&gt;""),IFERROR((Z59-X59)*24,""),"")</f>
        <v/>
      </c>
      <c r="AC59" s="71" t="n"/>
      <c r="AD59" s="71" t="n"/>
      <c r="AE59" s="71" t="n"/>
      <c r="AF59" s="71" t="n"/>
      <c r="AG59" s="71" t="n"/>
      <c r="AH59" s="71" t="n"/>
      <c r="AI59" s="71" t="n"/>
      <c r="AJ59" s="73" t="n"/>
      <c r="AK59" s="73" t="n"/>
    </row>
    <row r="60" ht="18" customHeight="1">
      <c r="A60" s="54">
        <f>IF(E60&lt;&gt;"","MUD-"&amp;TEXT(ROW()-3,"000"),"")</f>
        <v/>
      </c>
      <c r="B60" s="55">
        <f>IF(E60&lt;&gt;"",TODAY(),"")</f>
        <v/>
      </c>
      <c r="C60" s="56" t="n"/>
      <c r="D60" s="57" t="n"/>
      <c r="E60" s="58" t="n"/>
      <c r="F60" s="58" t="n"/>
      <c r="G60" s="59" t="n"/>
      <c r="H60" s="58" t="n"/>
      <c r="I60" s="58" t="n"/>
      <c r="J60" s="60" t="n"/>
      <c r="K60" s="59" t="n"/>
      <c r="L60" s="61" t="n"/>
      <c r="M60" s="61" t="n"/>
      <c r="N60" s="62" t="n"/>
      <c r="O60" s="62" t="n"/>
      <c r="P60" s="63">
        <f>IF(N60&lt;&gt;"",N60-O60,"")</f>
        <v/>
      </c>
      <c r="Q60" s="59" t="n"/>
      <c r="R60" s="59" t="n"/>
      <c r="S60" s="59" t="n"/>
      <c r="T60" s="60" t="n"/>
      <c r="U60" s="64">
        <f>IF(E60&lt;&gt;"","MUD-"&amp;TEXT(ROW()-3,"000"),"")</f>
        <v/>
      </c>
      <c r="V60" s="61" t="n"/>
      <c r="W60" s="59" t="n"/>
      <c r="X60" s="57" t="n"/>
      <c r="Y60" s="57" t="n"/>
      <c r="Z60" s="57" t="n"/>
      <c r="AA60" s="65" t="n"/>
      <c r="AB60" s="66">
        <f>IF(AND(X60&lt;&gt;"",Z60&lt;&gt;""),IFERROR((Z60-X60)*24,""),"")</f>
        <v/>
      </c>
      <c r="AC60" s="59" t="n"/>
      <c r="AD60" s="59" t="n"/>
      <c r="AE60" s="59" t="n"/>
      <c r="AF60" s="59" t="n"/>
      <c r="AG60" s="59" t="n"/>
      <c r="AH60" s="59" t="n"/>
      <c r="AI60" s="59" t="n"/>
      <c r="AJ60" s="61" t="n"/>
      <c r="AK60" s="61" t="n"/>
    </row>
    <row r="61" ht="18" customHeight="1">
      <c r="A61" s="54">
        <f>IF(E61&lt;&gt;"","MUD-"&amp;TEXT(ROW()-3,"000"),"")</f>
        <v/>
      </c>
      <c r="B61" s="67">
        <f>IF(E61&lt;&gt;"",TODAY(),"")</f>
        <v/>
      </c>
      <c r="C61" s="68" t="n"/>
      <c r="D61" s="69" t="n"/>
      <c r="E61" s="70" t="n"/>
      <c r="F61" s="70" t="n"/>
      <c r="G61" s="71" t="n"/>
      <c r="H61" s="70" t="n"/>
      <c r="I61" s="70" t="n"/>
      <c r="J61" s="72" t="n"/>
      <c r="K61" s="71" t="n"/>
      <c r="L61" s="73" t="n"/>
      <c r="M61" s="73" t="n"/>
      <c r="N61" s="74" t="n"/>
      <c r="O61" s="74" t="n"/>
      <c r="P61" s="63">
        <f>IF(N61&lt;&gt;"",N61-O61,"")</f>
        <v/>
      </c>
      <c r="Q61" s="71" t="n"/>
      <c r="R61" s="71" t="n"/>
      <c r="S61" s="71" t="n"/>
      <c r="T61" s="72" t="n"/>
      <c r="U61" s="64">
        <f>IF(E61&lt;&gt;"","MUD-"&amp;TEXT(ROW()-3,"000"),"")</f>
        <v/>
      </c>
      <c r="V61" s="73" t="n"/>
      <c r="W61" s="71" t="n"/>
      <c r="X61" s="69" t="n"/>
      <c r="Y61" s="69" t="n"/>
      <c r="Z61" s="69" t="n"/>
      <c r="AA61" s="75" t="n"/>
      <c r="AB61" s="66">
        <f>IF(AND(X61&lt;&gt;"",Z61&lt;&gt;""),IFERROR((Z61-X61)*24,""),"")</f>
        <v/>
      </c>
      <c r="AC61" s="71" t="n"/>
      <c r="AD61" s="71" t="n"/>
      <c r="AE61" s="71" t="n"/>
      <c r="AF61" s="71" t="n"/>
      <c r="AG61" s="71" t="n"/>
      <c r="AH61" s="71" t="n"/>
      <c r="AI61" s="71" t="n"/>
      <c r="AJ61" s="73" t="n"/>
      <c r="AK61" s="73" t="n"/>
    </row>
    <row r="62" ht="18" customHeight="1">
      <c r="A62" s="54">
        <f>IF(E62&lt;&gt;"","MUD-"&amp;TEXT(ROW()-3,"000"),"")</f>
        <v/>
      </c>
      <c r="B62" s="55">
        <f>IF(E62&lt;&gt;"",TODAY(),"")</f>
        <v/>
      </c>
      <c r="C62" s="56" t="n"/>
      <c r="D62" s="57" t="n"/>
      <c r="E62" s="58" t="n"/>
      <c r="F62" s="58" t="n"/>
      <c r="G62" s="59" t="n"/>
      <c r="H62" s="58" t="n"/>
      <c r="I62" s="58" t="n"/>
      <c r="J62" s="60" t="n"/>
      <c r="K62" s="59" t="n"/>
      <c r="L62" s="61" t="n"/>
      <c r="M62" s="61" t="n"/>
      <c r="N62" s="62" t="n"/>
      <c r="O62" s="62" t="n"/>
      <c r="P62" s="63">
        <f>IF(N62&lt;&gt;"",N62-O62,"")</f>
        <v/>
      </c>
      <c r="Q62" s="59" t="n"/>
      <c r="R62" s="59" t="n"/>
      <c r="S62" s="59" t="n"/>
      <c r="T62" s="60" t="n"/>
      <c r="U62" s="64">
        <f>IF(E62&lt;&gt;"","MUD-"&amp;TEXT(ROW()-3,"000"),"")</f>
        <v/>
      </c>
      <c r="V62" s="61" t="n"/>
      <c r="W62" s="59" t="n"/>
      <c r="X62" s="57" t="n"/>
      <c r="Y62" s="57" t="n"/>
      <c r="Z62" s="57" t="n"/>
      <c r="AA62" s="65" t="n"/>
      <c r="AB62" s="66">
        <f>IF(AND(X62&lt;&gt;"",Z62&lt;&gt;""),IFERROR((Z62-X62)*24,""),"")</f>
        <v/>
      </c>
      <c r="AC62" s="59" t="n"/>
      <c r="AD62" s="59" t="n"/>
      <c r="AE62" s="59" t="n"/>
      <c r="AF62" s="59" t="n"/>
      <c r="AG62" s="59" t="n"/>
      <c r="AH62" s="59" t="n"/>
      <c r="AI62" s="59" t="n"/>
      <c r="AJ62" s="61" t="n"/>
      <c r="AK62" s="61" t="n"/>
    </row>
    <row r="63" ht="18" customHeight="1">
      <c r="A63" s="54">
        <f>IF(E63&lt;&gt;"","MUD-"&amp;TEXT(ROW()-3,"000"),"")</f>
        <v/>
      </c>
      <c r="B63" s="67">
        <f>IF(E63&lt;&gt;"",TODAY(),"")</f>
        <v/>
      </c>
      <c r="C63" s="68" t="n"/>
      <c r="D63" s="69" t="n"/>
      <c r="E63" s="70" t="n"/>
      <c r="F63" s="70" t="n"/>
      <c r="G63" s="71" t="n"/>
      <c r="H63" s="70" t="n"/>
      <c r="I63" s="70" t="n"/>
      <c r="J63" s="72" t="n"/>
      <c r="K63" s="71" t="n"/>
      <c r="L63" s="73" t="n"/>
      <c r="M63" s="73" t="n"/>
      <c r="N63" s="74" t="n"/>
      <c r="O63" s="74" t="n"/>
      <c r="P63" s="63">
        <f>IF(N63&lt;&gt;"",N63-O63,"")</f>
        <v/>
      </c>
      <c r="Q63" s="71" t="n"/>
      <c r="R63" s="71" t="n"/>
      <c r="S63" s="71" t="n"/>
      <c r="T63" s="72" t="n"/>
      <c r="U63" s="64">
        <f>IF(E63&lt;&gt;"","MUD-"&amp;TEXT(ROW()-3,"000"),"")</f>
        <v/>
      </c>
      <c r="V63" s="73" t="n"/>
      <c r="W63" s="71" t="n"/>
      <c r="X63" s="69" t="n"/>
      <c r="Y63" s="69" t="n"/>
      <c r="Z63" s="69" t="n"/>
      <c r="AA63" s="75" t="n"/>
      <c r="AB63" s="66">
        <f>IF(AND(X63&lt;&gt;"",Z63&lt;&gt;""),IFERROR((Z63-X63)*24,""),"")</f>
        <v/>
      </c>
      <c r="AC63" s="71" t="n"/>
      <c r="AD63" s="71" t="n"/>
      <c r="AE63" s="71" t="n"/>
      <c r="AF63" s="71" t="n"/>
      <c r="AG63" s="71" t="n"/>
      <c r="AH63" s="71" t="n"/>
      <c r="AI63" s="71" t="n"/>
      <c r="AJ63" s="73" t="n"/>
      <c r="AK63" s="73" t="n"/>
    </row>
    <row r="64" ht="18" customHeight="1">
      <c r="A64" s="54">
        <f>IF(E64&lt;&gt;"","MUD-"&amp;TEXT(ROW()-3,"000"),"")</f>
        <v/>
      </c>
      <c r="B64" s="55">
        <f>IF(E64&lt;&gt;"",TODAY(),"")</f>
        <v/>
      </c>
      <c r="C64" s="56" t="n"/>
      <c r="D64" s="57" t="n"/>
      <c r="E64" s="58" t="n"/>
      <c r="F64" s="58" t="n"/>
      <c r="G64" s="59" t="n"/>
      <c r="H64" s="58" t="n"/>
      <c r="I64" s="58" t="n"/>
      <c r="J64" s="60" t="n"/>
      <c r="K64" s="59" t="n"/>
      <c r="L64" s="61" t="n"/>
      <c r="M64" s="61" t="n"/>
      <c r="N64" s="62" t="n"/>
      <c r="O64" s="62" t="n"/>
      <c r="P64" s="63">
        <f>IF(N64&lt;&gt;"",N64-O64,"")</f>
        <v/>
      </c>
      <c r="Q64" s="59" t="n"/>
      <c r="R64" s="59" t="n"/>
      <c r="S64" s="59" t="n"/>
      <c r="T64" s="60" t="n"/>
      <c r="U64" s="64">
        <f>IF(E64&lt;&gt;"","MUD-"&amp;TEXT(ROW()-3,"000"),"")</f>
        <v/>
      </c>
      <c r="V64" s="61" t="n"/>
      <c r="W64" s="59" t="n"/>
      <c r="X64" s="57" t="n"/>
      <c r="Y64" s="57" t="n"/>
      <c r="Z64" s="57" t="n"/>
      <c r="AA64" s="65" t="n"/>
      <c r="AB64" s="66">
        <f>IF(AND(X64&lt;&gt;"",Z64&lt;&gt;""),IFERROR((Z64-X64)*24,""),"")</f>
        <v/>
      </c>
      <c r="AC64" s="59" t="n"/>
      <c r="AD64" s="59" t="n"/>
      <c r="AE64" s="59" t="n"/>
      <c r="AF64" s="59" t="n"/>
      <c r="AG64" s="59" t="n"/>
      <c r="AH64" s="59" t="n"/>
      <c r="AI64" s="59" t="n"/>
      <c r="AJ64" s="61" t="n"/>
      <c r="AK64" s="61" t="n"/>
    </row>
    <row r="65" ht="18" customHeight="1">
      <c r="A65" s="54">
        <f>IF(E65&lt;&gt;"","MUD-"&amp;TEXT(ROW()-3,"000"),"")</f>
        <v/>
      </c>
      <c r="B65" s="67">
        <f>IF(E65&lt;&gt;"",TODAY(),"")</f>
        <v/>
      </c>
      <c r="C65" s="68" t="n"/>
      <c r="D65" s="69" t="n"/>
      <c r="E65" s="70" t="n"/>
      <c r="F65" s="70" t="n"/>
      <c r="G65" s="71" t="n"/>
      <c r="H65" s="70" t="n"/>
      <c r="I65" s="70" t="n"/>
      <c r="J65" s="72" t="n"/>
      <c r="K65" s="71" t="n"/>
      <c r="L65" s="73" t="n"/>
      <c r="M65" s="73" t="n"/>
      <c r="N65" s="74" t="n"/>
      <c r="O65" s="74" t="n"/>
      <c r="P65" s="63">
        <f>IF(N65&lt;&gt;"",N65-O65,"")</f>
        <v/>
      </c>
      <c r="Q65" s="71" t="n"/>
      <c r="R65" s="71" t="n"/>
      <c r="S65" s="71" t="n"/>
      <c r="T65" s="72" t="n"/>
      <c r="U65" s="64">
        <f>IF(E65&lt;&gt;"","MUD-"&amp;TEXT(ROW()-3,"000"),"")</f>
        <v/>
      </c>
      <c r="V65" s="73" t="n"/>
      <c r="W65" s="71" t="n"/>
      <c r="X65" s="69" t="n"/>
      <c r="Y65" s="69" t="n"/>
      <c r="Z65" s="69" t="n"/>
      <c r="AA65" s="75" t="n"/>
      <c r="AB65" s="66">
        <f>IF(AND(X65&lt;&gt;"",Z65&lt;&gt;""),IFERROR((Z65-X65)*24,""),"")</f>
        <v/>
      </c>
      <c r="AC65" s="71" t="n"/>
      <c r="AD65" s="71" t="n"/>
      <c r="AE65" s="71" t="n"/>
      <c r="AF65" s="71" t="n"/>
      <c r="AG65" s="71" t="n"/>
      <c r="AH65" s="71" t="n"/>
      <c r="AI65" s="71" t="n"/>
      <c r="AJ65" s="73" t="n"/>
      <c r="AK65" s="73" t="n"/>
    </row>
    <row r="66" ht="18" customHeight="1">
      <c r="A66" s="54">
        <f>IF(E66&lt;&gt;"","MUD-"&amp;TEXT(ROW()-3,"000"),"")</f>
        <v/>
      </c>
      <c r="B66" s="55">
        <f>IF(E66&lt;&gt;"",TODAY(),"")</f>
        <v/>
      </c>
      <c r="C66" s="56" t="n"/>
      <c r="D66" s="57" t="n"/>
      <c r="E66" s="58" t="n"/>
      <c r="F66" s="58" t="n"/>
      <c r="G66" s="59" t="n"/>
      <c r="H66" s="58" t="n"/>
      <c r="I66" s="58" t="n"/>
      <c r="J66" s="60" t="n"/>
      <c r="K66" s="59" t="n"/>
      <c r="L66" s="61" t="n"/>
      <c r="M66" s="61" t="n"/>
      <c r="N66" s="62" t="n"/>
      <c r="O66" s="62" t="n"/>
      <c r="P66" s="63">
        <f>IF(N66&lt;&gt;"",N66-O66,"")</f>
        <v/>
      </c>
      <c r="Q66" s="59" t="n"/>
      <c r="R66" s="59" t="n"/>
      <c r="S66" s="59" t="n"/>
      <c r="T66" s="60" t="n"/>
      <c r="U66" s="64">
        <f>IF(E66&lt;&gt;"","MUD-"&amp;TEXT(ROW()-3,"000"),"")</f>
        <v/>
      </c>
      <c r="V66" s="61" t="n"/>
      <c r="W66" s="59" t="n"/>
      <c r="X66" s="57" t="n"/>
      <c r="Y66" s="57" t="n"/>
      <c r="Z66" s="57" t="n"/>
      <c r="AA66" s="65" t="n"/>
      <c r="AB66" s="66">
        <f>IF(AND(X66&lt;&gt;"",Z66&lt;&gt;""),IFERROR((Z66-X66)*24,""),"")</f>
        <v/>
      </c>
      <c r="AC66" s="59" t="n"/>
      <c r="AD66" s="59" t="n"/>
      <c r="AE66" s="59" t="n"/>
      <c r="AF66" s="59" t="n"/>
      <c r="AG66" s="59" t="n"/>
      <c r="AH66" s="59" t="n"/>
      <c r="AI66" s="59" t="n"/>
      <c r="AJ66" s="61" t="n"/>
      <c r="AK66" s="61" t="n"/>
    </row>
    <row r="67" ht="18" customHeight="1">
      <c r="A67" s="54">
        <f>IF(E67&lt;&gt;"","MUD-"&amp;TEXT(ROW()-3,"000"),"")</f>
        <v/>
      </c>
      <c r="B67" s="67">
        <f>IF(E67&lt;&gt;"",TODAY(),"")</f>
        <v/>
      </c>
      <c r="C67" s="68" t="n"/>
      <c r="D67" s="69" t="n"/>
      <c r="E67" s="70" t="n"/>
      <c r="F67" s="70" t="n"/>
      <c r="G67" s="71" t="n"/>
      <c r="H67" s="70" t="n"/>
      <c r="I67" s="70" t="n"/>
      <c r="J67" s="72" t="n"/>
      <c r="K67" s="71" t="n"/>
      <c r="L67" s="73" t="n"/>
      <c r="M67" s="73" t="n"/>
      <c r="N67" s="74" t="n"/>
      <c r="O67" s="74" t="n"/>
      <c r="P67" s="63">
        <f>IF(N67&lt;&gt;"",N67-O67,"")</f>
        <v/>
      </c>
      <c r="Q67" s="71" t="n"/>
      <c r="R67" s="71" t="n"/>
      <c r="S67" s="71" t="n"/>
      <c r="T67" s="72" t="n"/>
      <c r="U67" s="64">
        <f>IF(E67&lt;&gt;"","MUD-"&amp;TEXT(ROW()-3,"000"),"")</f>
        <v/>
      </c>
      <c r="V67" s="73" t="n"/>
      <c r="W67" s="71" t="n"/>
      <c r="X67" s="69" t="n"/>
      <c r="Y67" s="69" t="n"/>
      <c r="Z67" s="69" t="n"/>
      <c r="AA67" s="75" t="n"/>
      <c r="AB67" s="66">
        <f>IF(AND(X67&lt;&gt;"",Z67&lt;&gt;""),IFERROR((Z67-X67)*24,""),"")</f>
        <v/>
      </c>
      <c r="AC67" s="71" t="n"/>
      <c r="AD67" s="71" t="n"/>
      <c r="AE67" s="71" t="n"/>
      <c r="AF67" s="71" t="n"/>
      <c r="AG67" s="71" t="n"/>
      <c r="AH67" s="71" t="n"/>
      <c r="AI67" s="71" t="n"/>
      <c r="AJ67" s="73" t="n"/>
      <c r="AK67" s="73" t="n"/>
    </row>
    <row r="68" ht="18" customHeight="1">
      <c r="A68" s="54">
        <f>IF(E68&lt;&gt;"","MUD-"&amp;TEXT(ROW()-3,"000"),"")</f>
        <v/>
      </c>
      <c r="B68" s="55">
        <f>IF(E68&lt;&gt;"",TODAY(),"")</f>
        <v/>
      </c>
      <c r="C68" s="56" t="n"/>
      <c r="D68" s="57" t="n"/>
      <c r="E68" s="58" t="n"/>
      <c r="F68" s="58" t="n"/>
      <c r="G68" s="59" t="n"/>
      <c r="H68" s="58" t="n"/>
      <c r="I68" s="58" t="n"/>
      <c r="J68" s="60" t="n"/>
      <c r="K68" s="59" t="n"/>
      <c r="L68" s="61" t="n"/>
      <c r="M68" s="61" t="n"/>
      <c r="N68" s="62" t="n"/>
      <c r="O68" s="62" t="n"/>
      <c r="P68" s="63">
        <f>IF(N68&lt;&gt;"",N68-O68,"")</f>
        <v/>
      </c>
      <c r="Q68" s="59" t="n"/>
      <c r="R68" s="59" t="n"/>
      <c r="S68" s="59" t="n"/>
      <c r="T68" s="60" t="n"/>
      <c r="U68" s="64">
        <f>IF(E68&lt;&gt;"","MUD-"&amp;TEXT(ROW()-3,"000"),"")</f>
        <v/>
      </c>
      <c r="V68" s="61" t="n"/>
      <c r="W68" s="59" t="n"/>
      <c r="X68" s="57" t="n"/>
      <c r="Y68" s="57" t="n"/>
      <c r="Z68" s="57" t="n"/>
      <c r="AA68" s="65" t="n"/>
      <c r="AB68" s="66">
        <f>IF(AND(X68&lt;&gt;"",Z68&lt;&gt;""),IFERROR((Z68-X68)*24,""),"")</f>
        <v/>
      </c>
      <c r="AC68" s="59" t="n"/>
      <c r="AD68" s="59" t="n"/>
      <c r="AE68" s="59" t="n"/>
      <c r="AF68" s="59" t="n"/>
      <c r="AG68" s="59" t="n"/>
      <c r="AH68" s="59" t="n"/>
      <c r="AI68" s="59" t="n"/>
      <c r="AJ68" s="61" t="n"/>
      <c r="AK68" s="61" t="n"/>
    </row>
    <row r="69" ht="18" customHeight="1">
      <c r="A69" s="54">
        <f>IF(E69&lt;&gt;"","MUD-"&amp;TEXT(ROW()-3,"000"),"")</f>
        <v/>
      </c>
      <c r="B69" s="67">
        <f>IF(E69&lt;&gt;"",TODAY(),"")</f>
        <v/>
      </c>
      <c r="C69" s="68" t="n"/>
      <c r="D69" s="69" t="n"/>
      <c r="E69" s="70" t="n"/>
      <c r="F69" s="70" t="n"/>
      <c r="G69" s="71" t="n"/>
      <c r="H69" s="70" t="n"/>
      <c r="I69" s="70" t="n"/>
      <c r="J69" s="72" t="n"/>
      <c r="K69" s="71" t="n"/>
      <c r="L69" s="73" t="n"/>
      <c r="M69" s="73" t="n"/>
      <c r="N69" s="74" t="n"/>
      <c r="O69" s="74" t="n"/>
      <c r="P69" s="63">
        <f>IF(N69&lt;&gt;"",N69-O69,"")</f>
        <v/>
      </c>
      <c r="Q69" s="71" t="n"/>
      <c r="R69" s="71" t="n"/>
      <c r="S69" s="71" t="n"/>
      <c r="T69" s="72" t="n"/>
      <c r="U69" s="64">
        <f>IF(E69&lt;&gt;"","MUD-"&amp;TEXT(ROW()-3,"000"),"")</f>
        <v/>
      </c>
      <c r="V69" s="73" t="n"/>
      <c r="W69" s="71" t="n"/>
      <c r="X69" s="69" t="n"/>
      <c r="Y69" s="69" t="n"/>
      <c r="Z69" s="69" t="n"/>
      <c r="AA69" s="75" t="n"/>
      <c r="AB69" s="66">
        <f>IF(AND(X69&lt;&gt;"",Z69&lt;&gt;""),IFERROR((Z69-X69)*24,""),"")</f>
        <v/>
      </c>
      <c r="AC69" s="71" t="n"/>
      <c r="AD69" s="71" t="n"/>
      <c r="AE69" s="71" t="n"/>
      <c r="AF69" s="71" t="n"/>
      <c r="AG69" s="71" t="n"/>
      <c r="AH69" s="71" t="n"/>
      <c r="AI69" s="71" t="n"/>
      <c r="AJ69" s="73" t="n"/>
      <c r="AK69" s="73" t="n"/>
    </row>
    <row r="70" ht="18" customHeight="1">
      <c r="A70" s="54">
        <f>IF(E70&lt;&gt;"","MUD-"&amp;TEXT(ROW()-3,"000"),"")</f>
        <v/>
      </c>
      <c r="B70" s="55">
        <f>IF(E70&lt;&gt;"",TODAY(),"")</f>
        <v/>
      </c>
      <c r="C70" s="56" t="n"/>
      <c r="D70" s="57" t="n"/>
      <c r="E70" s="58" t="n"/>
      <c r="F70" s="58" t="n"/>
      <c r="G70" s="59" t="n"/>
      <c r="H70" s="58" t="n"/>
      <c r="I70" s="58" t="n"/>
      <c r="J70" s="60" t="n"/>
      <c r="K70" s="59" t="n"/>
      <c r="L70" s="61" t="n"/>
      <c r="M70" s="61" t="n"/>
      <c r="N70" s="62" t="n"/>
      <c r="O70" s="62" t="n"/>
      <c r="P70" s="63">
        <f>IF(N70&lt;&gt;"",N70-O70,"")</f>
        <v/>
      </c>
      <c r="Q70" s="59" t="n"/>
      <c r="R70" s="59" t="n"/>
      <c r="S70" s="59" t="n"/>
      <c r="T70" s="60" t="n"/>
      <c r="U70" s="64">
        <f>IF(E70&lt;&gt;"","MUD-"&amp;TEXT(ROW()-3,"000"),"")</f>
        <v/>
      </c>
      <c r="V70" s="61" t="n"/>
      <c r="W70" s="59" t="n"/>
      <c r="X70" s="57" t="n"/>
      <c r="Y70" s="57" t="n"/>
      <c r="Z70" s="57" t="n"/>
      <c r="AA70" s="65" t="n"/>
      <c r="AB70" s="66">
        <f>IF(AND(X70&lt;&gt;"",Z70&lt;&gt;""),IFERROR((Z70-X70)*24,""),"")</f>
        <v/>
      </c>
      <c r="AC70" s="59" t="n"/>
      <c r="AD70" s="59" t="n"/>
      <c r="AE70" s="59" t="n"/>
      <c r="AF70" s="59" t="n"/>
      <c r="AG70" s="59" t="n"/>
      <c r="AH70" s="59" t="n"/>
      <c r="AI70" s="59" t="n"/>
      <c r="AJ70" s="61" t="n"/>
      <c r="AK70" s="61" t="n"/>
    </row>
    <row r="71" ht="18" customHeight="1">
      <c r="A71" s="54">
        <f>IF(E71&lt;&gt;"","MUD-"&amp;TEXT(ROW()-3,"000"),"")</f>
        <v/>
      </c>
      <c r="B71" s="67">
        <f>IF(E71&lt;&gt;"",TODAY(),"")</f>
        <v/>
      </c>
      <c r="C71" s="68" t="n"/>
      <c r="D71" s="69" t="n"/>
      <c r="E71" s="70" t="n"/>
      <c r="F71" s="70" t="n"/>
      <c r="G71" s="71" t="n"/>
      <c r="H71" s="70" t="n"/>
      <c r="I71" s="70" t="n"/>
      <c r="J71" s="72" t="n"/>
      <c r="K71" s="71" t="n"/>
      <c r="L71" s="73" t="n"/>
      <c r="M71" s="73" t="n"/>
      <c r="N71" s="74" t="n"/>
      <c r="O71" s="74" t="n"/>
      <c r="P71" s="63">
        <f>IF(N71&lt;&gt;"",N71-O71,"")</f>
        <v/>
      </c>
      <c r="Q71" s="71" t="n"/>
      <c r="R71" s="71" t="n"/>
      <c r="S71" s="71" t="n"/>
      <c r="T71" s="72" t="n"/>
      <c r="U71" s="64">
        <f>IF(E71&lt;&gt;"","MUD-"&amp;TEXT(ROW()-3,"000"),"")</f>
        <v/>
      </c>
      <c r="V71" s="73" t="n"/>
      <c r="W71" s="71" t="n"/>
      <c r="X71" s="69" t="n"/>
      <c r="Y71" s="69" t="n"/>
      <c r="Z71" s="69" t="n"/>
      <c r="AA71" s="75" t="n"/>
      <c r="AB71" s="66">
        <f>IF(AND(X71&lt;&gt;"",Z71&lt;&gt;""),IFERROR((Z71-X71)*24,""),"")</f>
        <v/>
      </c>
      <c r="AC71" s="71" t="n"/>
      <c r="AD71" s="71" t="n"/>
      <c r="AE71" s="71" t="n"/>
      <c r="AF71" s="71" t="n"/>
      <c r="AG71" s="71" t="n"/>
      <c r="AH71" s="71" t="n"/>
      <c r="AI71" s="71" t="n"/>
      <c r="AJ71" s="73" t="n"/>
      <c r="AK71" s="73" t="n"/>
    </row>
    <row r="72" ht="18" customHeight="1">
      <c r="A72" s="54">
        <f>IF(E72&lt;&gt;"","MUD-"&amp;TEXT(ROW()-3,"000"),"")</f>
        <v/>
      </c>
      <c r="B72" s="55">
        <f>IF(E72&lt;&gt;"",TODAY(),"")</f>
        <v/>
      </c>
      <c r="C72" s="56" t="n"/>
      <c r="D72" s="57" t="n"/>
      <c r="E72" s="58" t="n"/>
      <c r="F72" s="58" t="n"/>
      <c r="G72" s="59" t="n"/>
      <c r="H72" s="58" t="n"/>
      <c r="I72" s="58" t="n"/>
      <c r="J72" s="60" t="n"/>
      <c r="K72" s="59" t="n"/>
      <c r="L72" s="61" t="n"/>
      <c r="M72" s="61" t="n"/>
      <c r="N72" s="62" t="n"/>
      <c r="O72" s="62" t="n"/>
      <c r="P72" s="63">
        <f>IF(N72&lt;&gt;"",N72-O72,"")</f>
        <v/>
      </c>
      <c r="Q72" s="59" t="n"/>
      <c r="R72" s="59" t="n"/>
      <c r="S72" s="59" t="n"/>
      <c r="T72" s="60" t="n"/>
      <c r="U72" s="64">
        <f>IF(E72&lt;&gt;"","MUD-"&amp;TEXT(ROW()-3,"000"),"")</f>
        <v/>
      </c>
      <c r="V72" s="61" t="n"/>
      <c r="W72" s="59" t="n"/>
      <c r="X72" s="57" t="n"/>
      <c r="Y72" s="57" t="n"/>
      <c r="Z72" s="57" t="n"/>
      <c r="AA72" s="65" t="n"/>
      <c r="AB72" s="66">
        <f>IF(AND(X72&lt;&gt;"",Z72&lt;&gt;""),IFERROR((Z72-X72)*24,""),"")</f>
        <v/>
      </c>
      <c r="AC72" s="59" t="n"/>
      <c r="AD72" s="59" t="n"/>
      <c r="AE72" s="59" t="n"/>
      <c r="AF72" s="59" t="n"/>
      <c r="AG72" s="59" t="n"/>
      <c r="AH72" s="59" t="n"/>
      <c r="AI72" s="59" t="n"/>
      <c r="AJ72" s="61" t="n"/>
      <c r="AK72" s="61" t="n"/>
    </row>
    <row r="73" ht="18" customHeight="1">
      <c r="A73" s="54">
        <f>IF(E73&lt;&gt;"","MUD-"&amp;TEXT(ROW()-3,"000"),"")</f>
        <v/>
      </c>
      <c r="B73" s="67">
        <f>IF(E73&lt;&gt;"",TODAY(),"")</f>
        <v/>
      </c>
      <c r="C73" s="68" t="n"/>
      <c r="D73" s="69" t="n"/>
      <c r="E73" s="70" t="n"/>
      <c r="F73" s="70" t="n"/>
      <c r="G73" s="71" t="n"/>
      <c r="H73" s="70" t="n"/>
      <c r="I73" s="70" t="n"/>
      <c r="J73" s="72" t="n"/>
      <c r="K73" s="71" t="n"/>
      <c r="L73" s="73" t="n"/>
      <c r="M73" s="73" t="n"/>
      <c r="N73" s="74" t="n"/>
      <c r="O73" s="74" t="n"/>
      <c r="P73" s="63">
        <f>IF(N73&lt;&gt;"",N73-O73,"")</f>
        <v/>
      </c>
      <c r="Q73" s="71" t="n"/>
      <c r="R73" s="71" t="n"/>
      <c r="S73" s="71" t="n"/>
      <c r="T73" s="72" t="n"/>
      <c r="U73" s="64">
        <f>IF(E73&lt;&gt;"","MUD-"&amp;TEXT(ROW()-3,"000"),"")</f>
        <v/>
      </c>
      <c r="V73" s="73" t="n"/>
      <c r="W73" s="71" t="n"/>
      <c r="X73" s="69" t="n"/>
      <c r="Y73" s="69" t="n"/>
      <c r="Z73" s="69" t="n"/>
      <c r="AA73" s="75" t="n"/>
      <c r="AB73" s="66">
        <f>IF(AND(X73&lt;&gt;"",Z73&lt;&gt;""),IFERROR((Z73-X73)*24,""),"")</f>
        <v/>
      </c>
      <c r="AC73" s="71" t="n"/>
      <c r="AD73" s="71" t="n"/>
      <c r="AE73" s="71" t="n"/>
      <c r="AF73" s="71" t="n"/>
      <c r="AG73" s="71" t="n"/>
      <c r="AH73" s="71" t="n"/>
      <c r="AI73" s="71" t="n"/>
      <c r="AJ73" s="73" t="n"/>
      <c r="AK73" s="73" t="n"/>
    </row>
    <row r="74" ht="18" customHeight="1">
      <c r="A74" s="54">
        <f>IF(E74&lt;&gt;"","MUD-"&amp;TEXT(ROW()-3,"000"),"")</f>
        <v/>
      </c>
      <c r="B74" s="55">
        <f>IF(E74&lt;&gt;"",TODAY(),"")</f>
        <v/>
      </c>
      <c r="C74" s="56" t="n"/>
      <c r="D74" s="57" t="n"/>
      <c r="E74" s="58" t="n"/>
      <c r="F74" s="58" t="n"/>
      <c r="G74" s="59" t="n"/>
      <c r="H74" s="58" t="n"/>
      <c r="I74" s="58" t="n"/>
      <c r="J74" s="60" t="n"/>
      <c r="K74" s="59" t="n"/>
      <c r="L74" s="61" t="n"/>
      <c r="M74" s="61" t="n"/>
      <c r="N74" s="62" t="n"/>
      <c r="O74" s="62" t="n"/>
      <c r="P74" s="63">
        <f>IF(N74&lt;&gt;"",N74-O74,"")</f>
        <v/>
      </c>
      <c r="Q74" s="59" t="n"/>
      <c r="R74" s="59" t="n"/>
      <c r="S74" s="59" t="n"/>
      <c r="T74" s="60" t="n"/>
      <c r="U74" s="64">
        <f>IF(E74&lt;&gt;"","MUD-"&amp;TEXT(ROW()-3,"000"),"")</f>
        <v/>
      </c>
      <c r="V74" s="61" t="n"/>
      <c r="W74" s="59" t="n"/>
      <c r="X74" s="57" t="n"/>
      <c r="Y74" s="57" t="n"/>
      <c r="Z74" s="57" t="n"/>
      <c r="AA74" s="65" t="n"/>
      <c r="AB74" s="66">
        <f>IF(AND(X74&lt;&gt;"",Z74&lt;&gt;""),IFERROR((Z74-X74)*24,""),"")</f>
        <v/>
      </c>
      <c r="AC74" s="59" t="n"/>
      <c r="AD74" s="59" t="n"/>
      <c r="AE74" s="59" t="n"/>
      <c r="AF74" s="59" t="n"/>
      <c r="AG74" s="59" t="n"/>
      <c r="AH74" s="59" t="n"/>
      <c r="AI74" s="59" t="n"/>
      <c r="AJ74" s="61" t="n"/>
      <c r="AK74" s="61" t="n"/>
    </row>
    <row r="75" ht="18" customHeight="1">
      <c r="A75" s="54">
        <f>IF(E75&lt;&gt;"","MUD-"&amp;TEXT(ROW()-3,"000"),"")</f>
        <v/>
      </c>
      <c r="B75" s="67">
        <f>IF(E75&lt;&gt;"",TODAY(),"")</f>
        <v/>
      </c>
      <c r="C75" s="68" t="n"/>
      <c r="D75" s="69" t="n"/>
      <c r="E75" s="70" t="n"/>
      <c r="F75" s="70" t="n"/>
      <c r="G75" s="71" t="n"/>
      <c r="H75" s="70" t="n"/>
      <c r="I75" s="70" t="n"/>
      <c r="J75" s="72" t="n"/>
      <c r="K75" s="71" t="n"/>
      <c r="L75" s="73" t="n"/>
      <c r="M75" s="73" t="n"/>
      <c r="N75" s="74" t="n"/>
      <c r="O75" s="74" t="n"/>
      <c r="P75" s="63">
        <f>IF(N75&lt;&gt;"",N75-O75,"")</f>
        <v/>
      </c>
      <c r="Q75" s="71" t="n"/>
      <c r="R75" s="71" t="n"/>
      <c r="S75" s="71" t="n"/>
      <c r="T75" s="72" t="n"/>
      <c r="U75" s="64">
        <f>IF(E75&lt;&gt;"","MUD-"&amp;TEXT(ROW()-3,"000"),"")</f>
        <v/>
      </c>
      <c r="V75" s="73" t="n"/>
      <c r="W75" s="71" t="n"/>
      <c r="X75" s="69" t="n"/>
      <c r="Y75" s="69" t="n"/>
      <c r="Z75" s="69" t="n"/>
      <c r="AA75" s="75" t="n"/>
      <c r="AB75" s="66">
        <f>IF(AND(X75&lt;&gt;"",Z75&lt;&gt;""),IFERROR((Z75-X75)*24,""),"")</f>
        <v/>
      </c>
      <c r="AC75" s="71" t="n"/>
      <c r="AD75" s="71" t="n"/>
      <c r="AE75" s="71" t="n"/>
      <c r="AF75" s="71" t="n"/>
      <c r="AG75" s="71" t="n"/>
      <c r="AH75" s="71" t="n"/>
      <c r="AI75" s="71" t="n"/>
      <c r="AJ75" s="73" t="n"/>
      <c r="AK75" s="73" t="n"/>
    </row>
    <row r="76" ht="18" customHeight="1">
      <c r="A76" s="54">
        <f>IF(E76&lt;&gt;"","MUD-"&amp;TEXT(ROW()-3,"000"),"")</f>
        <v/>
      </c>
      <c r="B76" s="55">
        <f>IF(E76&lt;&gt;"",TODAY(),"")</f>
        <v/>
      </c>
      <c r="C76" s="56" t="n"/>
      <c r="D76" s="57" t="n"/>
      <c r="E76" s="58" t="n"/>
      <c r="F76" s="58" t="n"/>
      <c r="G76" s="59" t="n"/>
      <c r="H76" s="58" t="n"/>
      <c r="I76" s="58" t="n"/>
      <c r="J76" s="60" t="n"/>
      <c r="K76" s="59" t="n"/>
      <c r="L76" s="61" t="n"/>
      <c r="M76" s="61" t="n"/>
      <c r="N76" s="62" t="n"/>
      <c r="O76" s="62" t="n"/>
      <c r="P76" s="63">
        <f>IF(N76&lt;&gt;"",N76-O76,"")</f>
        <v/>
      </c>
      <c r="Q76" s="59" t="n"/>
      <c r="R76" s="59" t="n"/>
      <c r="S76" s="59" t="n"/>
      <c r="T76" s="60" t="n"/>
      <c r="U76" s="64">
        <f>IF(E76&lt;&gt;"","MUD-"&amp;TEXT(ROW()-3,"000"),"")</f>
        <v/>
      </c>
      <c r="V76" s="61" t="n"/>
      <c r="W76" s="59" t="n"/>
      <c r="X76" s="57" t="n"/>
      <c r="Y76" s="57" t="n"/>
      <c r="Z76" s="57" t="n"/>
      <c r="AA76" s="65" t="n"/>
      <c r="AB76" s="66">
        <f>IF(AND(X76&lt;&gt;"",Z76&lt;&gt;""),IFERROR((Z76-X76)*24,""),"")</f>
        <v/>
      </c>
      <c r="AC76" s="59" t="n"/>
      <c r="AD76" s="59" t="n"/>
      <c r="AE76" s="59" t="n"/>
      <c r="AF76" s="59" t="n"/>
      <c r="AG76" s="59" t="n"/>
      <c r="AH76" s="59" t="n"/>
      <c r="AI76" s="59" t="n"/>
      <c r="AJ76" s="61" t="n"/>
      <c r="AK76" s="61" t="n"/>
    </row>
    <row r="77" ht="18" customHeight="1">
      <c r="A77" s="54">
        <f>IF(E77&lt;&gt;"","MUD-"&amp;TEXT(ROW()-3,"000"),"")</f>
        <v/>
      </c>
      <c r="B77" s="67">
        <f>IF(E77&lt;&gt;"",TODAY(),"")</f>
        <v/>
      </c>
      <c r="C77" s="68" t="n"/>
      <c r="D77" s="69" t="n"/>
      <c r="E77" s="70" t="n"/>
      <c r="F77" s="70" t="n"/>
      <c r="G77" s="71" t="n"/>
      <c r="H77" s="70" t="n"/>
      <c r="I77" s="70" t="n"/>
      <c r="J77" s="72" t="n"/>
      <c r="K77" s="71" t="n"/>
      <c r="L77" s="73" t="n"/>
      <c r="M77" s="73" t="n"/>
      <c r="N77" s="74" t="n"/>
      <c r="O77" s="74" t="n"/>
      <c r="P77" s="63">
        <f>IF(N77&lt;&gt;"",N77-O77,"")</f>
        <v/>
      </c>
      <c r="Q77" s="71" t="n"/>
      <c r="R77" s="71" t="n"/>
      <c r="S77" s="71" t="n"/>
      <c r="T77" s="72" t="n"/>
      <c r="U77" s="64">
        <f>IF(E77&lt;&gt;"","MUD-"&amp;TEXT(ROW()-3,"000"),"")</f>
        <v/>
      </c>
      <c r="V77" s="73" t="n"/>
      <c r="W77" s="71" t="n"/>
      <c r="X77" s="69" t="n"/>
      <c r="Y77" s="69" t="n"/>
      <c r="Z77" s="69" t="n"/>
      <c r="AA77" s="75" t="n"/>
      <c r="AB77" s="66">
        <f>IF(AND(X77&lt;&gt;"",Z77&lt;&gt;""),IFERROR((Z77-X77)*24,""),"")</f>
        <v/>
      </c>
      <c r="AC77" s="71" t="n"/>
      <c r="AD77" s="71" t="n"/>
      <c r="AE77" s="71" t="n"/>
      <c r="AF77" s="71" t="n"/>
      <c r="AG77" s="71" t="n"/>
      <c r="AH77" s="71" t="n"/>
      <c r="AI77" s="71" t="n"/>
      <c r="AJ77" s="73" t="n"/>
      <c r="AK77" s="73" t="n"/>
    </row>
    <row r="78" ht="18" customHeight="1">
      <c r="A78" s="54">
        <f>IF(E78&lt;&gt;"","MUD-"&amp;TEXT(ROW()-3,"000"),"")</f>
        <v/>
      </c>
      <c r="B78" s="55">
        <f>IF(E78&lt;&gt;"",TODAY(),"")</f>
        <v/>
      </c>
      <c r="C78" s="56" t="n"/>
      <c r="D78" s="57" t="n"/>
      <c r="E78" s="58" t="n"/>
      <c r="F78" s="58" t="n"/>
      <c r="G78" s="59" t="n"/>
      <c r="H78" s="58" t="n"/>
      <c r="I78" s="58" t="n"/>
      <c r="J78" s="60" t="n"/>
      <c r="K78" s="59" t="n"/>
      <c r="L78" s="61" t="n"/>
      <c r="M78" s="61" t="n"/>
      <c r="N78" s="62" t="n"/>
      <c r="O78" s="62" t="n"/>
      <c r="P78" s="63">
        <f>IF(N78&lt;&gt;"",N78-O78,"")</f>
        <v/>
      </c>
      <c r="Q78" s="59" t="n"/>
      <c r="R78" s="59" t="n"/>
      <c r="S78" s="59" t="n"/>
      <c r="T78" s="60" t="n"/>
      <c r="U78" s="64">
        <f>IF(E78&lt;&gt;"","MUD-"&amp;TEXT(ROW()-3,"000"),"")</f>
        <v/>
      </c>
      <c r="V78" s="61" t="n"/>
      <c r="W78" s="59" t="n"/>
      <c r="X78" s="57" t="n"/>
      <c r="Y78" s="57" t="n"/>
      <c r="Z78" s="57" t="n"/>
      <c r="AA78" s="65" t="n"/>
      <c r="AB78" s="66">
        <f>IF(AND(X78&lt;&gt;"",Z78&lt;&gt;""),IFERROR((Z78-X78)*24,""),"")</f>
        <v/>
      </c>
      <c r="AC78" s="59" t="n"/>
      <c r="AD78" s="59" t="n"/>
      <c r="AE78" s="59" t="n"/>
      <c r="AF78" s="59" t="n"/>
      <c r="AG78" s="59" t="n"/>
      <c r="AH78" s="59" t="n"/>
      <c r="AI78" s="59" t="n"/>
      <c r="AJ78" s="61" t="n"/>
      <c r="AK78" s="61" t="n"/>
    </row>
    <row r="79" ht="18" customHeight="1">
      <c r="A79" s="54">
        <f>IF(E79&lt;&gt;"","MUD-"&amp;TEXT(ROW()-3,"000"),"")</f>
        <v/>
      </c>
      <c r="B79" s="67">
        <f>IF(E79&lt;&gt;"",TODAY(),"")</f>
        <v/>
      </c>
      <c r="C79" s="68" t="n"/>
      <c r="D79" s="69" t="n"/>
      <c r="E79" s="70" t="n"/>
      <c r="F79" s="70" t="n"/>
      <c r="G79" s="71" t="n"/>
      <c r="H79" s="70" t="n"/>
      <c r="I79" s="70" t="n"/>
      <c r="J79" s="72" t="n"/>
      <c r="K79" s="71" t="n"/>
      <c r="L79" s="73" t="n"/>
      <c r="M79" s="73" t="n"/>
      <c r="N79" s="74" t="n"/>
      <c r="O79" s="74" t="n"/>
      <c r="P79" s="63">
        <f>IF(N79&lt;&gt;"",N79-O79,"")</f>
        <v/>
      </c>
      <c r="Q79" s="71" t="n"/>
      <c r="R79" s="71" t="n"/>
      <c r="S79" s="71" t="n"/>
      <c r="T79" s="72" t="n"/>
      <c r="U79" s="64">
        <f>IF(E79&lt;&gt;"","MUD-"&amp;TEXT(ROW()-3,"000"),"")</f>
        <v/>
      </c>
      <c r="V79" s="73" t="n"/>
      <c r="W79" s="71" t="n"/>
      <c r="X79" s="69" t="n"/>
      <c r="Y79" s="69" t="n"/>
      <c r="Z79" s="69" t="n"/>
      <c r="AA79" s="75" t="n"/>
      <c r="AB79" s="66">
        <f>IF(AND(X79&lt;&gt;"",Z79&lt;&gt;""),IFERROR((Z79-X79)*24,""),"")</f>
        <v/>
      </c>
      <c r="AC79" s="71" t="n"/>
      <c r="AD79" s="71" t="n"/>
      <c r="AE79" s="71" t="n"/>
      <c r="AF79" s="71" t="n"/>
      <c r="AG79" s="71" t="n"/>
      <c r="AH79" s="71" t="n"/>
      <c r="AI79" s="71" t="n"/>
      <c r="AJ79" s="73" t="n"/>
      <c r="AK79" s="73" t="n"/>
    </row>
    <row r="80" ht="18" customHeight="1">
      <c r="A80" s="54">
        <f>IF(E80&lt;&gt;"","MUD-"&amp;TEXT(ROW()-3,"000"),"")</f>
        <v/>
      </c>
      <c r="B80" s="55">
        <f>IF(E80&lt;&gt;"",TODAY(),"")</f>
        <v/>
      </c>
      <c r="C80" s="56" t="n"/>
      <c r="D80" s="57" t="n"/>
      <c r="E80" s="58" t="n"/>
      <c r="F80" s="58" t="n"/>
      <c r="G80" s="59" t="n"/>
      <c r="H80" s="58" t="n"/>
      <c r="I80" s="58" t="n"/>
      <c r="J80" s="60" t="n"/>
      <c r="K80" s="59" t="n"/>
      <c r="L80" s="61" t="n"/>
      <c r="M80" s="61" t="n"/>
      <c r="N80" s="62" t="n"/>
      <c r="O80" s="62" t="n"/>
      <c r="P80" s="63">
        <f>IF(N80&lt;&gt;"",N80-O80,"")</f>
        <v/>
      </c>
      <c r="Q80" s="59" t="n"/>
      <c r="R80" s="59" t="n"/>
      <c r="S80" s="59" t="n"/>
      <c r="T80" s="60" t="n"/>
      <c r="U80" s="64">
        <f>IF(E80&lt;&gt;"","MUD-"&amp;TEXT(ROW()-3,"000"),"")</f>
        <v/>
      </c>
      <c r="V80" s="61" t="n"/>
      <c r="W80" s="59" t="n"/>
      <c r="X80" s="57" t="n"/>
      <c r="Y80" s="57" t="n"/>
      <c r="Z80" s="57" t="n"/>
      <c r="AA80" s="65" t="n"/>
      <c r="AB80" s="66">
        <f>IF(AND(X80&lt;&gt;"",Z80&lt;&gt;""),IFERROR((Z80-X80)*24,""),"")</f>
        <v/>
      </c>
      <c r="AC80" s="59" t="n"/>
      <c r="AD80" s="59" t="n"/>
      <c r="AE80" s="59" t="n"/>
      <c r="AF80" s="59" t="n"/>
      <c r="AG80" s="59" t="n"/>
      <c r="AH80" s="59" t="n"/>
      <c r="AI80" s="59" t="n"/>
      <c r="AJ80" s="61" t="n"/>
      <c r="AK80" s="61" t="n"/>
    </row>
    <row r="81" ht="18" customHeight="1">
      <c r="A81" s="54">
        <f>IF(E81&lt;&gt;"","MUD-"&amp;TEXT(ROW()-3,"000"),"")</f>
        <v/>
      </c>
      <c r="B81" s="67">
        <f>IF(E81&lt;&gt;"",TODAY(),"")</f>
        <v/>
      </c>
      <c r="C81" s="68" t="n"/>
      <c r="D81" s="69" t="n"/>
      <c r="E81" s="70" t="n"/>
      <c r="F81" s="70" t="n"/>
      <c r="G81" s="71" t="n"/>
      <c r="H81" s="70" t="n"/>
      <c r="I81" s="70" t="n"/>
      <c r="J81" s="72" t="n"/>
      <c r="K81" s="71" t="n"/>
      <c r="L81" s="73" t="n"/>
      <c r="M81" s="73" t="n"/>
      <c r="N81" s="74" t="n"/>
      <c r="O81" s="74" t="n"/>
      <c r="P81" s="63">
        <f>IF(N81&lt;&gt;"",N81-O81,"")</f>
        <v/>
      </c>
      <c r="Q81" s="71" t="n"/>
      <c r="R81" s="71" t="n"/>
      <c r="S81" s="71" t="n"/>
      <c r="T81" s="72" t="n"/>
      <c r="U81" s="64">
        <f>IF(E81&lt;&gt;"","MUD-"&amp;TEXT(ROW()-3,"000"),"")</f>
        <v/>
      </c>
      <c r="V81" s="73" t="n"/>
      <c r="W81" s="71" t="n"/>
      <c r="X81" s="69" t="n"/>
      <c r="Y81" s="69" t="n"/>
      <c r="Z81" s="69" t="n"/>
      <c r="AA81" s="75" t="n"/>
      <c r="AB81" s="66">
        <f>IF(AND(X81&lt;&gt;"",Z81&lt;&gt;""),IFERROR((Z81-X81)*24,""),"")</f>
        <v/>
      </c>
      <c r="AC81" s="71" t="n"/>
      <c r="AD81" s="71" t="n"/>
      <c r="AE81" s="71" t="n"/>
      <c r="AF81" s="71" t="n"/>
      <c r="AG81" s="71" t="n"/>
      <c r="AH81" s="71" t="n"/>
      <c r="AI81" s="71" t="n"/>
      <c r="AJ81" s="73" t="n"/>
      <c r="AK81" s="73" t="n"/>
    </row>
    <row r="82" ht="18" customHeight="1">
      <c r="A82" s="54">
        <f>IF(E82&lt;&gt;"","MUD-"&amp;TEXT(ROW()-3,"000"),"")</f>
        <v/>
      </c>
      <c r="B82" s="55">
        <f>IF(E82&lt;&gt;"",TODAY(),"")</f>
        <v/>
      </c>
      <c r="C82" s="56" t="n"/>
      <c r="D82" s="57" t="n"/>
      <c r="E82" s="58" t="n"/>
      <c r="F82" s="58" t="n"/>
      <c r="G82" s="59" t="n"/>
      <c r="H82" s="58" t="n"/>
      <c r="I82" s="58" t="n"/>
      <c r="J82" s="60" t="n"/>
      <c r="K82" s="59" t="n"/>
      <c r="L82" s="61" t="n"/>
      <c r="M82" s="61" t="n"/>
      <c r="N82" s="62" t="n"/>
      <c r="O82" s="62" t="n"/>
      <c r="P82" s="63">
        <f>IF(N82&lt;&gt;"",N82-O82,"")</f>
        <v/>
      </c>
      <c r="Q82" s="59" t="n"/>
      <c r="R82" s="59" t="n"/>
      <c r="S82" s="59" t="n"/>
      <c r="T82" s="60" t="n"/>
      <c r="U82" s="64">
        <f>IF(E82&lt;&gt;"","MUD-"&amp;TEXT(ROW()-3,"000"),"")</f>
        <v/>
      </c>
      <c r="V82" s="61" t="n"/>
      <c r="W82" s="59" t="n"/>
      <c r="X82" s="57" t="n"/>
      <c r="Y82" s="57" t="n"/>
      <c r="Z82" s="57" t="n"/>
      <c r="AA82" s="65" t="n"/>
      <c r="AB82" s="66">
        <f>IF(AND(X82&lt;&gt;"",Z82&lt;&gt;""),IFERROR((Z82-X82)*24,""),"")</f>
        <v/>
      </c>
      <c r="AC82" s="59" t="n"/>
      <c r="AD82" s="59" t="n"/>
      <c r="AE82" s="59" t="n"/>
      <c r="AF82" s="59" t="n"/>
      <c r="AG82" s="59" t="n"/>
      <c r="AH82" s="59" t="n"/>
      <c r="AI82" s="59" t="n"/>
      <c r="AJ82" s="61" t="n"/>
      <c r="AK82" s="61" t="n"/>
    </row>
    <row r="83" ht="18" customHeight="1">
      <c r="A83" s="54">
        <f>IF(E83&lt;&gt;"","MUD-"&amp;TEXT(ROW()-3,"000"),"")</f>
        <v/>
      </c>
      <c r="B83" s="67">
        <f>IF(E83&lt;&gt;"",TODAY(),"")</f>
        <v/>
      </c>
      <c r="C83" s="68" t="n"/>
      <c r="D83" s="69" t="n"/>
      <c r="E83" s="70" t="n"/>
      <c r="F83" s="70" t="n"/>
      <c r="G83" s="71" t="n"/>
      <c r="H83" s="70" t="n"/>
      <c r="I83" s="70" t="n"/>
      <c r="J83" s="72" t="n"/>
      <c r="K83" s="71" t="n"/>
      <c r="L83" s="73" t="n"/>
      <c r="M83" s="73" t="n"/>
      <c r="N83" s="74" t="n"/>
      <c r="O83" s="74" t="n"/>
      <c r="P83" s="63">
        <f>IF(N83&lt;&gt;"",N83-O83,"")</f>
        <v/>
      </c>
      <c r="Q83" s="71" t="n"/>
      <c r="R83" s="71" t="n"/>
      <c r="S83" s="71" t="n"/>
      <c r="T83" s="72" t="n"/>
      <c r="U83" s="64">
        <f>IF(E83&lt;&gt;"","MUD-"&amp;TEXT(ROW()-3,"000"),"")</f>
        <v/>
      </c>
      <c r="V83" s="73" t="n"/>
      <c r="W83" s="71" t="n"/>
      <c r="X83" s="69" t="n"/>
      <c r="Y83" s="69" t="n"/>
      <c r="Z83" s="69" t="n"/>
      <c r="AA83" s="75" t="n"/>
      <c r="AB83" s="66">
        <f>IF(AND(X83&lt;&gt;"",Z83&lt;&gt;""),IFERROR((Z83-X83)*24,""),"")</f>
        <v/>
      </c>
      <c r="AC83" s="71" t="n"/>
      <c r="AD83" s="71" t="n"/>
      <c r="AE83" s="71" t="n"/>
      <c r="AF83" s="71" t="n"/>
      <c r="AG83" s="71" t="n"/>
      <c r="AH83" s="71" t="n"/>
      <c r="AI83" s="71" t="n"/>
      <c r="AJ83" s="73" t="n"/>
      <c r="AK83" s="73" t="n"/>
    </row>
    <row r="84" ht="18" customHeight="1">
      <c r="A84" s="54">
        <f>IF(E84&lt;&gt;"","MUD-"&amp;TEXT(ROW()-3,"000"),"")</f>
        <v/>
      </c>
      <c r="B84" s="55">
        <f>IF(E84&lt;&gt;"",TODAY(),"")</f>
        <v/>
      </c>
      <c r="C84" s="56" t="n"/>
      <c r="D84" s="57" t="n"/>
      <c r="E84" s="58" t="n"/>
      <c r="F84" s="58" t="n"/>
      <c r="G84" s="59" t="n"/>
      <c r="H84" s="58" t="n"/>
      <c r="I84" s="58" t="n"/>
      <c r="J84" s="60" t="n"/>
      <c r="K84" s="59" t="n"/>
      <c r="L84" s="61" t="n"/>
      <c r="M84" s="61" t="n"/>
      <c r="N84" s="62" t="n"/>
      <c r="O84" s="62" t="n"/>
      <c r="P84" s="63">
        <f>IF(N84&lt;&gt;"",N84-O84,"")</f>
        <v/>
      </c>
      <c r="Q84" s="59" t="n"/>
      <c r="R84" s="59" t="n"/>
      <c r="S84" s="59" t="n"/>
      <c r="T84" s="60" t="n"/>
      <c r="U84" s="64">
        <f>IF(E84&lt;&gt;"","MUD-"&amp;TEXT(ROW()-3,"000"),"")</f>
        <v/>
      </c>
      <c r="V84" s="61" t="n"/>
      <c r="W84" s="59" t="n"/>
      <c r="X84" s="57" t="n"/>
      <c r="Y84" s="57" t="n"/>
      <c r="Z84" s="57" t="n"/>
      <c r="AA84" s="65" t="n"/>
      <c r="AB84" s="66">
        <f>IF(AND(X84&lt;&gt;"",Z84&lt;&gt;""),IFERROR((Z84-X84)*24,""),"")</f>
        <v/>
      </c>
      <c r="AC84" s="59" t="n"/>
      <c r="AD84" s="59" t="n"/>
      <c r="AE84" s="59" t="n"/>
      <c r="AF84" s="59" t="n"/>
      <c r="AG84" s="59" t="n"/>
      <c r="AH84" s="59" t="n"/>
      <c r="AI84" s="59" t="n"/>
      <c r="AJ84" s="61" t="n"/>
      <c r="AK84" s="61" t="n"/>
    </row>
    <row r="85" ht="18" customHeight="1">
      <c r="A85" s="54">
        <f>IF(E85&lt;&gt;"","MUD-"&amp;TEXT(ROW()-3,"000"),"")</f>
        <v/>
      </c>
      <c r="B85" s="67">
        <f>IF(E85&lt;&gt;"",TODAY(),"")</f>
        <v/>
      </c>
      <c r="C85" s="68" t="n"/>
      <c r="D85" s="69" t="n"/>
      <c r="E85" s="70" t="n"/>
      <c r="F85" s="70" t="n"/>
      <c r="G85" s="71" t="n"/>
      <c r="H85" s="70" t="n"/>
      <c r="I85" s="70" t="n"/>
      <c r="J85" s="72" t="n"/>
      <c r="K85" s="71" t="n"/>
      <c r="L85" s="73" t="n"/>
      <c r="M85" s="73" t="n"/>
      <c r="N85" s="74" t="n"/>
      <c r="O85" s="74" t="n"/>
      <c r="P85" s="63">
        <f>IF(N85&lt;&gt;"",N85-O85,"")</f>
        <v/>
      </c>
      <c r="Q85" s="71" t="n"/>
      <c r="R85" s="71" t="n"/>
      <c r="S85" s="71" t="n"/>
      <c r="T85" s="72" t="n"/>
      <c r="U85" s="64">
        <f>IF(E85&lt;&gt;"","MUD-"&amp;TEXT(ROW()-3,"000"),"")</f>
        <v/>
      </c>
      <c r="V85" s="73" t="n"/>
      <c r="W85" s="71" t="n"/>
      <c r="X85" s="69" t="n"/>
      <c r="Y85" s="69" t="n"/>
      <c r="Z85" s="69" t="n"/>
      <c r="AA85" s="75" t="n"/>
      <c r="AB85" s="66">
        <f>IF(AND(X85&lt;&gt;"",Z85&lt;&gt;""),IFERROR((Z85-X85)*24,""),"")</f>
        <v/>
      </c>
      <c r="AC85" s="71" t="n"/>
      <c r="AD85" s="71" t="n"/>
      <c r="AE85" s="71" t="n"/>
      <c r="AF85" s="71" t="n"/>
      <c r="AG85" s="71" t="n"/>
      <c r="AH85" s="71" t="n"/>
      <c r="AI85" s="71" t="n"/>
      <c r="AJ85" s="73" t="n"/>
      <c r="AK85" s="73" t="n"/>
    </row>
    <row r="86" ht="18" customHeight="1">
      <c r="A86" s="54">
        <f>IF(E86&lt;&gt;"","MUD-"&amp;TEXT(ROW()-3,"000"),"")</f>
        <v/>
      </c>
      <c r="B86" s="55">
        <f>IF(E86&lt;&gt;"",TODAY(),"")</f>
        <v/>
      </c>
      <c r="C86" s="56" t="n"/>
      <c r="D86" s="57" t="n"/>
      <c r="E86" s="58" t="n"/>
      <c r="F86" s="58" t="n"/>
      <c r="G86" s="59" t="n"/>
      <c r="H86" s="58" t="n"/>
      <c r="I86" s="58" t="n"/>
      <c r="J86" s="60" t="n"/>
      <c r="K86" s="59" t="n"/>
      <c r="L86" s="61" t="n"/>
      <c r="M86" s="61" t="n"/>
      <c r="N86" s="62" t="n"/>
      <c r="O86" s="62" t="n"/>
      <c r="P86" s="63">
        <f>IF(N86&lt;&gt;"",N86-O86,"")</f>
        <v/>
      </c>
      <c r="Q86" s="59" t="n"/>
      <c r="R86" s="59" t="n"/>
      <c r="S86" s="59" t="n"/>
      <c r="T86" s="60" t="n"/>
      <c r="U86" s="64">
        <f>IF(E86&lt;&gt;"","MUD-"&amp;TEXT(ROW()-3,"000"),"")</f>
        <v/>
      </c>
      <c r="V86" s="61" t="n"/>
      <c r="W86" s="59" t="n"/>
      <c r="X86" s="57" t="n"/>
      <c r="Y86" s="57" t="n"/>
      <c r="Z86" s="57" t="n"/>
      <c r="AA86" s="65" t="n"/>
      <c r="AB86" s="66">
        <f>IF(AND(X86&lt;&gt;"",Z86&lt;&gt;""),IFERROR((Z86-X86)*24,""),"")</f>
        <v/>
      </c>
      <c r="AC86" s="59" t="n"/>
      <c r="AD86" s="59" t="n"/>
      <c r="AE86" s="59" t="n"/>
      <c r="AF86" s="59" t="n"/>
      <c r="AG86" s="59" t="n"/>
      <c r="AH86" s="59" t="n"/>
      <c r="AI86" s="59" t="n"/>
      <c r="AJ86" s="61" t="n"/>
      <c r="AK86" s="61" t="n"/>
    </row>
    <row r="87" ht="18" customHeight="1">
      <c r="A87" s="54">
        <f>IF(E87&lt;&gt;"","MUD-"&amp;TEXT(ROW()-3,"000"),"")</f>
        <v/>
      </c>
      <c r="B87" s="67">
        <f>IF(E87&lt;&gt;"",TODAY(),"")</f>
        <v/>
      </c>
      <c r="C87" s="68" t="n"/>
      <c r="D87" s="69" t="n"/>
      <c r="E87" s="70" t="n"/>
      <c r="F87" s="70" t="n"/>
      <c r="G87" s="71" t="n"/>
      <c r="H87" s="70" t="n"/>
      <c r="I87" s="70" t="n"/>
      <c r="J87" s="72" t="n"/>
      <c r="K87" s="71" t="n"/>
      <c r="L87" s="73" t="n"/>
      <c r="M87" s="73" t="n"/>
      <c r="N87" s="74" t="n"/>
      <c r="O87" s="74" t="n"/>
      <c r="P87" s="63">
        <f>IF(N87&lt;&gt;"",N87-O87,"")</f>
        <v/>
      </c>
      <c r="Q87" s="71" t="n"/>
      <c r="R87" s="71" t="n"/>
      <c r="S87" s="71" t="n"/>
      <c r="T87" s="72" t="n"/>
      <c r="U87" s="64">
        <f>IF(E87&lt;&gt;"","MUD-"&amp;TEXT(ROW()-3,"000"),"")</f>
        <v/>
      </c>
      <c r="V87" s="73" t="n"/>
      <c r="W87" s="71" t="n"/>
      <c r="X87" s="69" t="n"/>
      <c r="Y87" s="69" t="n"/>
      <c r="Z87" s="69" t="n"/>
      <c r="AA87" s="75" t="n"/>
      <c r="AB87" s="66">
        <f>IF(AND(X87&lt;&gt;"",Z87&lt;&gt;""),IFERROR((Z87-X87)*24,""),"")</f>
        <v/>
      </c>
      <c r="AC87" s="71" t="n"/>
      <c r="AD87" s="71" t="n"/>
      <c r="AE87" s="71" t="n"/>
      <c r="AF87" s="71" t="n"/>
      <c r="AG87" s="71" t="n"/>
      <c r="AH87" s="71" t="n"/>
      <c r="AI87" s="71" t="n"/>
      <c r="AJ87" s="73" t="n"/>
      <c r="AK87" s="73" t="n"/>
    </row>
    <row r="88" ht="18" customHeight="1">
      <c r="A88" s="54">
        <f>IF(E88&lt;&gt;"","MUD-"&amp;TEXT(ROW()-3,"000"),"")</f>
        <v/>
      </c>
      <c r="B88" s="55">
        <f>IF(E88&lt;&gt;"",TODAY(),"")</f>
        <v/>
      </c>
      <c r="C88" s="56" t="n"/>
      <c r="D88" s="57" t="n"/>
      <c r="E88" s="58" t="n"/>
      <c r="F88" s="58" t="n"/>
      <c r="G88" s="59" t="n"/>
      <c r="H88" s="58" t="n"/>
      <c r="I88" s="58" t="n"/>
      <c r="J88" s="60" t="n"/>
      <c r="K88" s="59" t="n"/>
      <c r="L88" s="61" t="n"/>
      <c r="M88" s="61" t="n"/>
      <c r="N88" s="62" t="n"/>
      <c r="O88" s="62" t="n"/>
      <c r="P88" s="63">
        <f>IF(N88&lt;&gt;"",N88-O88,"")</f>
        <v/>
      </c>
      <c r="Q88" s="59" t="n"/>
      <c r="R88" s="59" t="n"/>
      <c r="S88" s="59" t="n"/>
      <c r="T88" s="60" t="n"/>
      <c r="U88" s="64">
        <f>IF(E88&lt;&gt;"","MUD-"&amp;TEXT(ROW()-3,"000"),"")</f>
        <v/>
      </c>
      <c r="V88" s="61" t="n"/>
      <c r="W88" s="59" t="n"/>
      <c r="X88" s="57" t="n"/>
      <c r="Y88" s="57" t="n"/>
      <c r="Z88" s="57" t="n"/>
      <c r="AA88" s="65" t="n"/>
      <c r="AB88" s="66">
        <f>IF(AND(X88&lt;&gt;"",Z88&lt;&gt;""),IFERROR((Z88-X88)*24,""),"")</f>
        <v/>
      </c>
      <c r="AC88" s="59" t="n"/>
      <c r="AD88" s="59" t="n"/>
      <c r="AE88" s="59" t="n"/>
      <c r="AF88" s="59" t="n"/>
      <c r="AG88" s="59" t="n"/>
      <c r="AH88" s="59" t="n"/>
      <c r="AI88" s="59" t="n"/>
      <c r="AJ88" s="61" t="n"/>
      <c r="AK88" s="61" t="n"/>
    </row>
    <row r="89" ht="18" customHeight="1">
      <c r="A89" s="54">
        <f>IF(E89&lt;&gt;"","MUD-"&amp;TEXT(ROW()-3,"000"),"")</f>
        <v/>
      </c>
      <c r="B89" s="67">
        <f>IF(E89&lt;&gt;"",TODAY(),"")</f>
        <v/>
      </c>
      <c r="C89" s="68" t="n"/>
      <c r="D89" s="69" t="n"/>
      <c r="E89" s="70" t="n"/>
      <c r="F89" s="70" t="n"/>
      <c r="G89" s="71" t="n"/>
      <c r="H89" s="70" t="n"/>
      <c r="I89" s="70" t="n"/>
      <c r="J89" s="72" t="n"/>
      <c r="K89" s="71" t="n"/>
      <c r="L89" s="73" t="n"/>
      <c r="M89" s="73" t="n"/>
      <c r="N89" s="74" t="n"/>
      <c r="O89" s="74" t="n"/>
      <c r="P89" s="63">
        <f>IF(N89&lt;&gt;"",N89-O89,"")</f>
        <v/>
      </c>
      <c r="Q89" s="71" t="n"/>
      <c r="R89" s="71" t="n"/>
      <c r="S89" s="71" t="n"/>
      <c r="T89" s="72" t="n"/>
      <c r="U89" s="64">
        <f>IF(E89&lt;&gt;"","MUD-"&amp;TEXT(ROW()-3,"000"),"")</f>
        <v/>
      </c>
      <c r="V89" s="73" t="n"/>
      <c r="W89" s="71" t="n"/>
      <c r="X89" s="69" t="n"/>
      <c r="Y89" s="69" t="n"/>
      <c r="Z89" s="69" t="n"/>
      <c r="AA89" s="75" t="n"/>
      <c r="AB89" s="66">
        <f>IF(AND(X89&lt;&gt;"",Z89&lt;&gt;""),IFERROR((Z89-X89)*24,""),"")</f>
        <v/>
      </c>
      <c r="AC89" s="71" t="n"/>
      <c r="AD89" s="71" t="n"/>
      <c r="AE89" s="71" t="n"/>
      <c r="AF89" s="71" t="n"/>
      <c r="AG89" s="71" t="n"/>
      <c r="AH89" s="71" t="n"/>
      <c r="AI89" s="71" t="n"/>
      <c r="AJ89" s="73" t="n"/>
      <c r="AK89" s="73" t="n"/>
    </row>
    <row r="90" ht="18" customHeight="1">
      <c r="A90" s="54">
        <f>IF(E90&lt;&gt;"","MUD-"&amp;TEXT(ROW()-3,"000"),"")</f>
        <v/>
      </c>
      <c r="B90" s="55">
        <f>IF(E90&lt;&gt;"",TODAY(),"")</f>
        <v/>
      </c>
      <c r="C90" s="56" t="n"/>
      <c r="D90" s="57" t="n"/>
      <c r="E90" s="58" t="n"/>
      <c r="F90" s="58" t="n"/>
      <c r="G90" s="59" t="n"/>
      <c r="H90" s="58" t="n"/>
      <c r="I90" s="58" t="n"/>
      <c r="J90" s="60" t="n"/>
      <c r="K90" s="59" t="n"/>
      <c r="L90" s="61" t="n"/>
      <c r="M90" s="61" t="n"/>
      <c r="N90" s="62" t="n"/>
      <c r="O90" s="62" t="n"/>
      <c r="P90" s="63">
        <f>IF(N90&lt;&gt;"",N90-O90,"")</f>
        <v/>
      </c>
      <c r="Q90" s="59" t="n"/>
      <c r="R90" s="59" t="n"/>
      <c r="S90" s="59" t="n"/>
      <c r="T90" s="60" t="n"/>
      <c r="U90" s="64">
        <f>IF(E90&lt;&gt;"","MUD-"&amp;TEXT(ROW()-3,"000"),"")</f>
        <v/>
      </c>
      <c r="V90" s="61" t="n"/>
      <c r="W90" s="59" t="n"/>
      <c r="X90" s="57" t="n"/>
      <c r="Y90" s="57" t="n"/>
      <c r="Z90" s="57" t="n"/>
      <c r="AA90" s="65" t="n"/>
      <c r="AB90" s="66">
        <f>IF(AND(X90&lt;&gt;"",Z90&lt;&gt;""),IFERROR((Z90-X90)*24,""),"")</f>
        <v/>
      </c>
      <c r="AC90" s="59" t="n"/>
      <c r="AD90" s="59" t="n"/>
      <c r="AE90" s="59" t="n"/>
      <c r="AF90" s="59" t="n"/>
      <c r="AG90" s="59" t="n"/>
      <c r="AH90" s="59" t="n"/>
      <c r="AI90" s="59" t="n"/>
      <c r="AJ90" s="61" t="n"/>
      <c r="AK90" s="61" t="n"/>
    </row>
    <row r="91" ht="18" customHeight="1">
      <c r="A91" s="54">
        <f>IF(E91&lt;&gt;"","MUD-"&amp;TEXT(ROW()-3,"000"),"")</f>
        <v/>
      </c>
      <c r="B91" s="67">
        <f>IF(E91&lt;&gt;"",TODAY(),"")</f>
        <v/>
      </c>
      <c r="C91" s="68" t="n"/>
      <c r="D91" s="69" t="n"/>
      <c r="E91" s="70" t="n"/>
      <c r="F91" s="70" t="n"/>
      <c r="G91" s="71" t="n"/>
      <c r="H91" s="70" t="n"/>
      <c r="I91" s="70" t="n"/>
      <c r="J91" s="72" t="n"/>
      <c r="K91" s="71" t="n"/>
      <c r="L91" s="73" t="n"/>
      <c r="M91" s="73" t="n"/>
      <c r="N91" s="74" t="n"/>
      <c r="O91" s="74" t="n"/>
      <c r="P91" s="63">
        <f>IF(N91&lt;&gt;"",N91-O91,"")</f>
        <v/>
      </c>
      <c r="Q91" s="71" t="n"/>
      <c r="R91" s="71" t="n"/>
      <c r="S91" s="71" t="n"/>
      <c r="T91" s="72" t="n"/>
      <c r="U91" s="64">
        <f>IF(E91&lt;&gt;"","MUD-"&amp;TEXT(ROW()-3,"000"),"")</f>
        <v/>
      </c>
      <c r="V91" s="73" t="n"/>
      <c r="W91" s="71" t="n"/>
      <c r="X91" s="69" t="n"/>
      <c r="Y91" s="69" t="n"/>
      <c r="Z91" s="69" t="n"/>
      <c r="AA91" s="75" t="n"/>
      <c r="AB91" s="66">
        <f>IF(AND(X91&lt;&gt;"",Z91&lt;&gt;""),IFERROR((Z91-X91)*24,""),"")</f>
        <v/>
      </c>
      <c r="AC91" s="71" t="n"/>
      <c r="AD91" s="71" t="n"/>
      <c r="AE91" s="71" t="n"/>
      <c r="AF91" s="71" t="n"/>
      <c r="AG91" s="71" t="n"/>
      <c r="AH91" s="71" t="n"/>
      <c r="AI91" s="71" t="n"/>
      <c r="AJ91" s="73" t="n"/>
      <c r="AK91" s="73" t="n"/>
    </row>
    <row r="92" ht="18" customHeight="1">
      <c r="A92" s="54">
        <f>IF(E92&lt;&gt;"","MUD-"&amp;TEXT(ROW()-3,"000"),"")</f>
        <v/>
      </c>
      <c r="B92" s="55">
        <f>IF(E92&lt;&gt;"",TODAY(),"")</f>
        <v/>
      </c>
      <c r="C92" s="56" t="n"/>
      <c r="D92" s="57" t="n"/>
      <c r="E92" s="58" t="n"/>
      <c r="F92" s="58" t="n"/>
      <c r="G92" s="59" t="n"/>
      <c r="H92" s="58" t="n"/>
      <c r="I92" s="58" t="n"/>
      <c r="J92" s="60" t="n"/>
      <c r="K92" s="59" t="n"/>
      <c r="L92" s="61" t="n"/>
      <c r="M92" s="61" t="n"/>
      <c r="N92" s="62" t="n"/>
      <c r="O92" s="62" t="n"/>
      <c r="P92" s="63">
        <f>IF(N92&lt;&gt;"",N92-O92,"")</f>
        <v/>
      </c>
      <c r="Q92" s="59" t="n"/>
      <c r="R92" s="59" t="n"/>
      <c r="S92" s="59" t="n"/>
      <c r="T92" s="60" t="n"/>
      <c r="U92" s="64">
        <f>IF(E92&lt;&gt;"","MUD-"&amp;TEXT(ROW()-3,"000"),"")</f>
        <v/>
      </c>
      <c r="V92" s="61" t="n"/>
      <c r="W92" s="59" t="n"/>
      <c r="X92" s="57" t="n"/>
      <c r="Y92" s="57" t="n"/>
      <c r="Z92" s="57" t="n"/>
      <c r="AA92" s="65" t="n"/>
      <c r="AB92" s="66">
        <f>IF(AND(X92&lt;&gt;"",Z92&lt;&gt;""),IFERROR((Z92-X92)*24,""),"")</f>
        <v/>
      </c>
      <c r="AC92" s="59" t="n"/>
      <c r="AD92" s="59" t="n"/>
      <c r="AE92" s="59" t="n"/>
      <c r="AF92" s="59" t="n"/>
      <c r="AG92" s="59" t="n"/>
      <c r="AH92" s="59" t="n"/>
      <c r="AI92" s="59" t="n"/>
      <c r="AJ92" s="61" t="n"/>
      <c r="AK92" s="61" t="n"/>
    </row>
    <row r="93" ht="18" customHeight="1">
      <c r="A93" s="54">
        <f>IF(E93&lt;&gt;"","MUD-"&amp;TEXT(ROW()-3,"000"),"")</f>
        <v/>
      </c>
      <c r="B93" s="67">
        <f>IF(E93&lt;&gt;"",TODAY(),"")</f>
        <v/>
      </c>
      <c r="C93" s="68" t="n"/>
      <c r="D93" s="69" t="n"/>
      <c r="E93" s="70" t="n"/>
      <c r="F93" s="70" t="n"/>
      <c r="G93" s="71" t="n"/>
      <c r="H93" s="70" t="n"/>
      <c r="I93" s="70" t="n"/>
      <c r="J93" s="72" t="n"/>
      <c r="K93" s="71" t="n"/>
      <c r="L93" s="73" t="n"/>
      <c r="M93" s="73" t="n"/>
      <c r="N93" s="74" t="n"/>
      <c r="O93" s="74" t="n"/>
      <c r="P93" s="63">
        <f>IF(N93&lt;&gt;"",N93-O93,"")</f>
        <v/>
      </c>
      <c r="Q93" s="71" t="n"/>
      <c r="R93" s="71" t="n"/>
      <c r="S93" s="71" t="n"/>
      <c r="T93" s="72" t="n"/>
      <c r="U93" s="64">
        <f>IF(E93&lt;&gt;"","MUD-"&amp;TEXT(ROW()-3,"000"),"")</f>
        <v/>
      </c>
      <c r="V93" s="73" t="n"/>
      <c r="W93" s="71" t="n"/>
      <c r="X93" s="69" t="n"/>
      <c r="Y93" s="69" t="n"/>
      <c r="Z93" s="69" t="n"/>
      <c r="AA93" s="75" t="n"/>
      <c r="AB93" s="66">
        <f>IF(AND(X93&lt;&gt;"",Z93&lt;&gt;""),IFERROR((Z93-X93)*24,""),"")</f>
        <v/>
      </c>
      <c r="AC93" s="71" t="n"/>
      <c r="AD93" s="71" t="n"/>
      <c r="AE93" s="71" t="n"/>
      <c r="AF93" s="71" t="n"/>
      <c r="AG93" s="71" t="n"/>
      <c r="AH93" s="71" t="n"/>
      <c r="AI93" s="71" t="n"/>
      <c r="AJ93" s="73" t="n"/>
      <c r="AK93" s="73" t="n"/>
    </row>
    <row r="94" ht="18" customHeight="1">
      <c r="A94" s="54">
        <f>IF(E94&lt;&gt;"","MUD-"&amp;TEXT(ROW()-3,"000"),"")</f>
        <v/>
      </c>
      <c r="B94" s="55">
        <f>IF(E94&lt;&gt;"",TODAY(),"")</f>
        <v/>
      </c>
      <c r="C94" s="56" t="n"/>
      <c r="D94" s="57" t="n"/>
      <c r="E94" s="58" t="n"/>
      <c r="F94" s="58" t="n"/>
      <c r="G94" s="59" t="n"/>
      <c r="H94" s="58" t="n"/>
      <c r="I94" s="58" t="n"/>
      <c r="J94" s="60" t="n"/>
      <c r="K94" s="59" t="n"/>
      <c r="L94" s="61" t="n"/>
      <c r="M94" s="61" t="n"/>
      <c r="N94" s="62" t="n"/>
      <c r="O94" s="62" t="n"/>
      <c r="P94" s="63">
        <f>IF(N94&lt;&gt;"",N94-O94,"")</f>
        <v/>
      </c>
      <c r="Q94" s="59" t="n"/>
      <c r="R94" s="59" t="n"/>
      <c r="S94" s="59" t="n"/>
      <c r="T94" s="60" t="n"/>
      <c r="U94" s="64">
        <f>IF(E94&lt;&gt;"","MUD-"&amp;TEXT(ROW()-3,"000"),"")</f>
        <v/>
      </c>
      <c r="V94" s="61" t="n"/>
      <c r="W94" s="59" t="n"/>
      <c r="X94" s="57" t="n"/>
      <c r="Y94" s="57" t="n"/>
      <c r="Z94" s="57" t="n"/>
      <c r="AA94" s="65" t="n"/>
      <c r="AB94" s="66">
        <f>IF(AND(X94&lt;&gt;"",Z94&lt;&gt;""),IFERROR((Z94-X94)*24,""),"")</f>
        <v/>
      </c>
      <c r="AC94" s="59" t="n"/>
      <c r="AD94" s="59" t="n"/>
      <c r="AE94" s="59" t="n"/>
      <c r="AF94" s="59" t="n"/>
      <c r="AG94" s="59" t="n"/>
      <c r="AH94" s="59" t="n"/>
      <c r="AI94" s="59" t="n"/>
      <c r="AJ94" s="61" t="n"/>
      <c r="AK94" s="61" t="n"/>
    </row>
    <row r="95" ht="18" customHeight="1">
      <c r="A95" s="54">
        <f>IF(E95&lt;&gt;"","MUD-"&amp;TEXT(ROW()-3,"000"),"")</f>
        <v/>
      </c>
      <c r="B95" s="67">
        <f>IF(E95&lt;&gt;"",TODAY(),"")</f>
        <v/>
      </c>
      <c r="C95" s="68" t="n"/>
      <c r="D95" s="69" t="n"/>
      <c r="E95" s="70" t="n"/>
      <c r="F95" s="70" t="n"/>
      <c r="G95" s="71" t="n"/>
      <c r="H95" s="70" t="n"/>
      <c r="I95" s="70" t="n"/>
      <c r="J95" s="72" t="n"/>
      <c r="K95" s="71" t="n"/>
      <c r="L95" s="73" t="n"/>
      <c r="M95" s="73" t="n"/>
      <c r="N95" s="74" t="n"/>
      <c r="O95" s="74" t="n"/>
      <c r="P95" s="63">
        <f>IF(N95&lt;&gt;"",N95-O95,"")</f>
        <v/>
      </c>
      <c r="Q95" s="71" t="n"/>
      <c r="R95" s="71" t="n"/>
      <c r="S95" s="71" t="n"/>
      <c r="T95" s="72" t="n"/>
      <c r="U95" s="64">
        <f>IF(E95&lt;&gt;"","MUD-"&amp;TEXT(ROW()-3,"000"),"")</f>
        <v/>
      </c>
      <c r="V95" s="73" t="n"/>
      <c r="W95" s="71" t="n"/>
      <c r="X95" s="69" t="n"/>
      <c r="Y95" s="69" t="n"/>
      <c r="Z95" s="69" t="n"/>
      <c r="AA95" s="75" t="n"/>
      <c r="AB95" s="66">
        <f>IF(AND(X95&lt;&gt;"",Z95&lt;&gt;""),IFERROR((Z95-X95)*24,""),"")</f>
        <v/>
      </c>
      <c r="AC95" s="71" t="n"/>
      <c r="AD95" s="71" t="n"/>
      <c r="AE95" s="71" t="n"/>
      <c r="AF95" s="71" t="n"/>
      <c r="AG95" s="71" t="n"/>
      <c r="AH95" s="71" t="n"/>
      <c r="AI95" s="71" t="n"/>
      <c r="AJ95" s="73" t="n"/>
      <c r="AK95" s="73" t="n"/>
    </row>
    <row r="96" ht="18" customHeight="1">
      <c r="A96" s="54">
        <f>IF(E96&lt;&gt;"","MUD-"&amp;TEXT(ROW()-3,"000"),"")</f>
        <v/>
      </c>
      <c r="B96" s="55">
        <f>IF(E96&lt;&gt;"",TODAY(),"")</f>
        <v/>
      </c>
      <c r="C96" s="56" t="n"/>
      <c r="D96" s="57" t="n"/>
      <c r="E96" s="58" t="n"/>
      <c r="F96" s="58" t="n"/>
      <c r="G96" s="59" t="n"/>
      <c r="H96" s="58" t="n"/>
      <c r="I96" s="58" t="n"/>
      <c r="J96" s="60" t="n"/>
      <c r="K96" s="59" t="n"/>
      <c r="L96" s="61" t="n"/>
      <c r="M96" s="61" t="n"/>
      <c r="N96" s="62" t="n"/>
      <c r="O96" s="62" t="n"/>
      <c r="P96" s="63">
        <f>IF(N96&lt;&gt;"",N96-O96,"")</f>
        <v/>
      </c>
      <c r="Q96" s="59" t="n"/>
      <c r="R96" s="59" t="n"/>
      <c r="S96" s="59" t="n"/>
      <c r="T96" s="60" t="n"/>
      <c r="U96" s="64">
        <f>IF(E96&lt;&gt;"","MUD-"&amp;TEXT(ROW()-3,"000"),"")</f>
        <v/>
      </c>
      <c r="V96" s="61" t="n"/>
      <c r="W96" s="59" t="n"/>
      <c r="X96" s="57" t="n"/>
      <c r="Y96" s="57" t="n"/>
      <c r="Z96" s="57" t="n"/>
      <c r="AA96" s="65" t="n"/>
      <c r="AB96" s="66">
        <f>IF(AND(X96&lt;&gt;"",Z96&lt;&gt;""),IFERROR((Z96-X96)*24,""),"")</f>
        <v/>
      </c>
      <c r="AC96" s="59" t="n"/>
      <c r="AD96" s="59" t="n"/>
      <c r="AE96" s="59" t="n"/>
      <c r="AF96" s="59" t="n"/>
      <c r="AG96" s="59" t="n"/>
      <c r="AH96" s="59" t="n"/>
      <c r="AI96" s="59" t="n"/>
      <c r="AJ96" s="61" t="n"/>
      <c r="AK96" s="61" t="n"/>
    </row>
    <row r="97" ht="18" customHeight="1">
      <c r="A97" s="54">
        <f>IF(E97&lt;&gt;"","MUD-"&amp;TEXT(ROW()-3,"000"),"")</f>
        <v/>
      </c>
      <c r="B97" s="67">
        <f>IF(E97&lt;&gt;"",TODAY(),"")</f>
        <v/>
      </c>
      <c r="C97" s="68" t="n"/>
      <c r="D97" s="69" t="n"/>
      <c r="E97" s="70" t="n"/>
      <c r="F97" s="70" t="n"/>
      <c r="G97" s="71" t="n"/>
      <c r="H97" s="70" t="n"/>
      <c r="I97" s="70" t="n"/>
      <c r="J97" s="72" t="n"/>
      <c r="K97" s="71" t="n"/>
      <c r="L97" s="73" t="n"/>
      <c r="M97" s="73" t="n"/>
      <c r="N97" s="74" t="n"/>
      <c r="O97" s="74" t="n"/>
      <c r="P97" s="63">
        <f>IF(N97&lt;&gt;"",N97-O97,"")</f>
        <v/>
      </c>
      <c r="Q97" s="71" t="n"/>
      <c r="R97" s="71" t="n"/>
      <c r="S97" s="71" t="n"/>
      <c r="T97" s="72" t="n"/>
      <c r="U97" s="64">
        <f>IF(E97&lt;&gt;"","MUD-"&amp;TEXT(ROW()-3,"000"),"")</f>
        <v/>
      </c>
      <c r="V97" s="73" t="n"/>
      <c r="W97" s="71" t="n"/>
      <c r="X97" s="69" t="n"/>
      <c r="Y97" s="69" t="n"/>
      <c r="Z97" s="69" t="n"/>
      <c r="AA97" s="75" t="n"/>
      <c r="AB97" s="66">
        <f>IF(AND(X97&lt;&gt;"",Z97&lt;&gt;""),IFERROR((Z97-X97)*24,""),"")</f>
        <v/>
      </c>
      <c r="AC97" s="71" t="n"/>
      <c r="AD97" s="71" t="n"/>
      <c r="AE97" s="71" t="n"/>
      <c r="AF97" s="71" t="n"/>
      <c r="AG97" s="71" t="n"/>
      <c r="AH97" s="71" t="n"/>
      <c r="AI97" s="71" t="n"/>
      <c r="AJ97" s="73" t="n"/>
      <c r="AK97" s="73" t="n"/>
    </row>
    <row r="98" ht="18" customHeight="1">
      <c r="A98" s="54">
        <f>IF(E98&lt;&gt;"","MUD-"&amp;TEXT(ROW()-3,"000"),"")</f>
        <v/>
      </c>
      <c r="B98" s="55">
        <f>IF(E98&lt;&gt;"",TODAY(),"")</f>
        <v/>
      </c>
      <c r="C98" s="56" t="n"/>
      <c r="D98" s="57" t="n"/>
      <c r="E98" s="58" t="n"/>
      <c r="F98" s="58" t="n"/>
      <c r="G98" s="59" t="n"/>
      <c r="H98" s="58" t="n"/>
      <c r="I98" s="58" t="n"/>
      <c r="J98" s="60" t="n"/>
      <c r="K98" s="59" t="n"/>
      <c r="L98" s="61" t="n"/>
      <c r="M98" s="61" t="n"/>
      <c r="N98" s="62" t="n"/>
      <c r="O98" s="62" t="n"/>
      <c r="P98" s="63">
        <f>IF(N98&lt;&gt;"",N98-O98,"")</f>
        <v/>
      </c>
      <c r="Q98" s="59" t="n"/>
      <c r="R98" s="59" t="n"/>
      <c r="S98" s="59" t="n"/>
      <c r="T98" s="60" t="n"/>
      <c r="U98" s="64">
        <f>IF(E98&lt;&gt;"","MUD-"&amp;TEXT(ROW()-3,"000"),"")</f>
        <v/>
      </c>
      <c r="V98" s="61" t="n"/>
      <c r="W98" s="59" t="n"/>
      <c r="X98" s="57" t="n"/>
      <c r="Y98" s="57" t="n"/>
      <c r="Z98" s="57" t="n"/>
      <c r="AA98" s="65" t="n"/>
      <c r="AB98" s="66">
        <f>IF(AND(X98&lt;&gt;"",Z98&lt;&gt;""),IFERROR((Z98-X98)*24,""),"")</f>
        <v/>
      </c>
      <c r="AC98" s="59" t="n"/>
      <c r="AD98" s="59" t="n"/>
      <c r="AE98" s="59" t="n"/>
      <c r="AF98" s="59" t="n"/>
      <c r="AG98" s="59" t="n"/>
      <c r="AH98" s="59" t="n"/>
      <c r="AI98" s="59" t="n"/>
      <c r="AJ98" s="61" t="n"/>
      <c r="AK98" s="61" t="n"/>
    </row>
    <row r="99" ht="18" customHeight="1">
      <c r="A99" s="54">
        <f>IF(E99&lt;&gt;"","MUD-"&amp;TEXT(ROW()-3,"000"),"")</f>
        <v/>
      </c>
      <c r="B99" s="67">
        <f>IF(E99&lt;&gt;"",TODAY(),"")</f>
        <v/>
      </c>
      <c r="C99" s="68" t="n"/>
      <c r="D99" s="69" t="n"/>
      <c r="E99" s="70" t="n"/>
      <c r="F99" s="70" t="n"/>
      <c r="G99" s="71" t="n"/>
      <c r="H99" s="70" t="n"/>
      <c r="I99" s="70" t="n"/>
      <c r="J99" s="72" t="n"/>
      <c r="K99" s="71" t="n"/>
      <c r="L99" s="73" t="n"/>
      <c r="M99" s="73" t="n"/>
      <c r="N99" s="74" t="n"/>
      <c r="O99" s="74" t="n"/>
      <c r="P99" s="63">
        <f>IF(N99&lt;&gt;"",N99-O99,"")</f>
        <v/>
      </c>
      <c r="Q99" s="71" t="n"/>
      <c r="R99" s="71" t="n"/>
      <c r="S99" s="71" t="n"/>
      <c r="T99" s="72" t="n"/>
      <c r="U99" s="64">
        <f>IF(E99&lt;&gt;"","MUD-"&amp;TEXT(ROW()-3,"000"),"")</f>
        <v/>
      </c>
      <c r="V99" s="73" t="n"/>
      <c r="W99" s="71" t="n"/>
      <c r="X99" s="69" t="n"/>
      <c r="Y99" s="69" t="n"/>
      <c r="Z99" s="69" t="n"/>
      <c r="AA99" s="75" t="n"/>
      <c r="AB99" s="66">
        <f>IF(AND(X99&lt;&gt;"",Z99&lt;&gt;""),IFERROR((Z99-X99)*24,""),"")</f>
        <v/>
      </c>
      <c r="AC99" s="71" t="n"/>
      <c r="AD99" s="71" t="n"/>
      <c r="AE99" s="71" t="n"/>
      <c r="AF99" s="71" t="n"/>
      <c r="AG99" s="71" t="n"/>
      <c r="AH99" s="71" t="n"/>
      <c r="AI99" s="71" t="n"/>
      <c r="AJ99" s="73" t="n"/>
      <c r="AK99" s="73" t="n"/>
    </row>
    <row r="100" ht="18" customHeight="1">
      <c r="A100" s="54">
        <f>IF(E100&lt;&gt;"","MUD-"&amp;TEXT(ROW()-3,"000"),"")</f>
        <v/>
      </c>
      <c r="B100" s="55">
        <f>IF(E100&lt;&gt;"",TODAY(),"")</f>
        <v/>
      </c>
      <c r="C100" s="56" t="n"/>
      <c r="D100" s="57" t="n"/>
      <c r="E100" s="58" t="n"/>
      <c r="F100" s="58" t="n"/>
      <c r="G100" s="59" t="n"/>
      <c r="H100" s="58" t="n"/>
      <c r="I100" s="58" t="n"/>
      <c r="J100" s="60" t="n"/>
      <c r="K100" s="59" t="n"/>
      <c r="L100" s="61" t="n"/>
      <c r="M100" s="61" t="n"/>
      <c r="N100" s="62" t="n"/>
      <c r="O100" s="62" t="n"/>
      <c r="P100" s="63">
        <f>IF(N100&lt;&gt;"",N100-O100,"")</f>
        <v/>
      </c>
      <c r="Q100" s="59" t="n"/>
      <c r="R100" s="59" t="n"/>
      <c r="S100" s="59" t="n"/>
      <c r="T100" s="60" t="n"/>
      <c r="U100" s="64">
        <f>IF(E100&lt;&gt;"","MUD-"&amp;TEXT(ROW()-3,"000"),"")</f>
        <v/>
      </c>
      <c r="V100" s="61" t="n"/>
      <c r="W100" s="59" t="n"/>
      <c r="X100" s="57" t="n"/>
      <c r="Y100" s="57" t="n"/>
      <c r="Z100" s="57" t="n"/>
      <c r="AA100" s="65" t="n"/>
      <c r="AB100" s="66">
        <f>IF(AND(X100&lt;&gt;"",Z100&lt;&gt;""),IFERROR((Z100-X100)*24,""),"")</f>
        <v/>
      </c>
      <c r="AC100" s="59" t="n"/>
      <c r="AD100" s="59" t="n"/>
      <c r="AE100" s="59" t="n"/>
      <c r="AF100" s="59" t="n"/>
      <c r="AG100" s="59" t="n"/>
      <c r="AH100" s="59" t="n"/>
      <c r="AI100" s="59" t="n"/>
      <c r="AJ100" s="61" t="n"/>
      <c r="AK100" s="61" t="n"/>
    </row>
    <row r="101" ht="18" customHeight="1">
      <c r="A101" s="54">
        <f>IF(E101&lt;&gt;"","MUD-"&amp;TEXT(ROW()-3,"000"),"")</f>
        <v/>
      </c>
      <c r="B101" s="67">
        <f>IF(E101&lt;&gt;"",TODAY(),"")</f>
        <v/>
      </c>
      <c r="C101" s="68" t="n"/>
      <c r="D101" s="69" t="n"/>
      <c r="E101" s="70" t="n"/>
      <c r="F101" s="70" t="n"/>
      <c r="G101" s="71" t="n"/>
      <c r="H101" s="70" t="n"/>
      <c r="I101" s="70" t="n"/>
      <c r="J101" s="72" t="n"/>
      <c r="K101" s="71" t="n"/>
      <c r="L101" s="73" t="n"/>
      <c r="M101" s="73" t="n"/>
      <c r="N101" s="74" t="n"/>
      <c r="O101" s="74" t="n"/>
      <c r="P101" s="63">
        <f>IF(N101&lt;&gt;"",N101-O101,"")</f>
        <v/>
      </c>
      <c r="Q101" s="71" t="n"/>
      <c r="R101" s="71" t="n"/>
      <c r="S101" s="71" t="n"/>
      <c r="T101" s="72" t="n"/>
      <c r="U101" s="64">
        <f>IF(E101&lt;&gt;"","MUD-"&amp;TEXT(ROW()-3,"000"),"")</f>
        <v/>
      </c>
      <c r="V101" s="73" t="n"/>
      <c r="W101" s="71" t="n"/>
      <c r="X101" s="69" t="n"/>
      <c r="Y101" s="69" t="n"/>
      <c r="Z101" s="69" t="n"/>
      <c r="AA101" s="75" t="n"/>
      <c r="AB101" s="66">
        <f>IF(AND(X101&lt;&gt;"",Z101&lt;&gt;""),IFERROR((Z101-X101)*24,""),"")</f>
        <v/>
      </c>
      <c r="AC101" s="71" t="n"/>
      <c r="AD101" s="71" t="n"/>
      <c r="AE101" s="71" t="n"/>
      <c r="AF101" s="71" t="n"/>
      <c r="AG101" s="71" t="n"/>
      <c r="AH101" s="71" t="n"/>
      <c r="AI101" s="71" t="n"/>
      <c r="AJ101" s="73" t="n"/>
      <c r="AK101" s="73" t="n"/>
    </row>
    <row r="102" ht="18" customHeight="1">
      <c r="A102" s="54">
        <f>IF(E102&lt;&gt;"","MUD-"&amp;TEXT(ROW()-3,"000"),"")</f>
        <v/>
      </c>
      <c r="B102" s="55">
        <f>IF(E102&lt;&gt;"",TODAY(),"")</f>
        <v/>
      </c>
      <c r="C102" s="56" t="n"/>
      <c r="D102" s="57" t="n"/>
      <c r="E102" s="58" t="n"/>
      <c r="F102" s="58" t="n"/>
      <c r="G102" s="59" t="n"/>
      <c r="H102" s="58" t="n"/>
      <c r="I102" s="58" t="n"/>
      <c r="J102" s="60" t="n"/>
      <c r="K102" s="59" t="n"/>
      <c r="L102" s="61" t="n"/>
      <c r="M102" s="61" t="n"/>
      <c r="N102" s="62" t="n"/>
      <c r="O102" s="62" t="n"/>
      <c r="P102" s="63">
        <f>IF(N102&lt;&gt;"",N102-O102,"")</f>
        <v/>
      </c>
      <c r="Q102" s="59" t="n"/>
      <c r="R102" s="59" t="n"/>
      <c r="S102" s="59" t="n"/>
      <c r="T102" s="60" t="n"/>
      <c r="U102" s="64">
        <f>IF(E102&lt;&gt;"","MUD-"&amp;TEXT(ROW()-3,"000"),"")</f>
        <v/>
      </c>
      <c r="V102" s="61" t="n"/>
      <c r="W102" s="59" t="n"/>
      <c r="X102" s="57" t="n"/>
      <c r="Y102" s="57" t="n"/>
      <c r="Z102" s="57" t="n"/>
      <c r="AA102" s="65" t="n"/>
      <c r="AB102" s="66">
        <f>IF(AND(X102&lt;&gt;"",Z102&lt;&gt;""),IFERROR((Z102-X102)*24,""),"")</f>
        <v/>
      </c>
      <c r="AC102" s="59" t="n"/>
      <c r="AD102" s="59" t="n"/>
      <c r="AE102" s="59" t="n"/>
      <c r="AF102" s="59" t="n"/>
      <c r="AG102" s="59" t="n"/>
      <c r="AH102" s="59" t="n"/>
      <c r="AI102" s="59" t="n"/>
      <c r="AJ102" s="61" t="n"/>
      <c r="AK102" s="61" t="n"/>
    </row>
    <row r="103" ht="18" customHeight="1">
      <c r="A103" s="54">
        <f>IF(E103&lt;&gt;"","MUD-"&amp;TEXT(ROW()-3,"000"),"")</f>
        <v/>
      </c>
      <c r="B103" s="67">
        <f>IF(E103&lt;&gt;"",TODAY(),"")</f>
        <v/>
      </c>
      <c r="C103" s="68" t="n"/>
      <c r="D103" s="69" t="n"/>
      <c r="E103" s="70" t="n"/>
      <c r="F103" s="70" t="n"/>
      <c r="G103" s="71" t="n"/>
      <c r="H103" s="70" t="n"/>
      <c r="I103" s="70" t="n"/>
      <c r="J103" s="72" t="n"/>
      <c r="K103" s="71" t="n"/>
      <c r="L103" s="73" t="n"/>
      <c r="M103" s="73" t="n"/>
      <c r="N103" s="74" t="n"/>
      <c r="O103" s="74" t="n"/>
      <c r="P103" s="63">
        <f>IF(N103&lt;&gt;"",N103-O103,"")</f>
        <v/>
      </c>
      <c r="Q103" s="71" t="n"/>
      <c r="R103" s="71" t="n"/>
      <c r="S103" s="71" t="n"/>
      <c r="T103" s="72" t="n"/>
      <c r="U103" s="64">
        <f>IF(E103&lt;&gt;"","MUD-"&amp;TEXT(ROW()-3,"000"),"")</f>
        <v/>
      </c>
      <c r="V103" s="73" t="n"/>
      <c r="W103" s="71" t="n"/>
      <c r="X103" s="69" t="n"/>
      <c r="Y103" s="69" t="n"/>
      <c r="Z103" s="69" t="n"/>
      <c r="AA103" s="75" t="n"/>
      <c r="AB103" s="66">
        <f>IF(AND(X103&lt;&gt;"",Z103&lt;&gt;""),IFERROR((Z103-X103)*24,""),"")</f>
        <v/>
      </c>
      <c r="AC103" s="71" t="n"/>
      <c r="AD103" s="71" t="n"/>
      <c r="AE103" s="71" t="n"/>
      <c r="AF103" s="71" t="n"/>
      <c r="AG103" s="71" t="n"/>
      <c r="AH103" s="71" t="n"/>
      <c r="AI103" s="71" t="n"/>
      <c r="AJ103" s="73" t="n"/>
      <c r="AK103" s="73" t="n"/>
    </row>
    <row r="104" ht="18" customHeight="1">
      <c r="A104" s="54">
        <f>IF(E104&lt;&gt;"","MUD-"&amp;TEXT(ROW()-3,"000"),"")</f>
        <v/>
      </c>
      <c r="B104" s="55">
        <f>IF(E104&lt;&gt;"",TODAY(),"")</f>
        <v/>
      </c>
      <c r="C104" s="56" t="n"/>
      <c r="D104" s="57" t="n"/>
      <c r="E104" s="58" t="n"/>
      <c r="F104" s="58" t="n"/>
      <c r="G104" s="59" t="n"/>
      <c r="H104" s="58" t="n"/>
      <c r="I104" s="58" t="n"/>
      <c r="J104" s="60" t="n"/>
      <c r="K104" s="59" t="n"/>
      <c r="L104" s="61" t="n"/>
      <c r="M104" s="61" t="n"/>
      <c r="N104" s="62" t="n"/>
      <c r="O104" s="62" t="n"/>
      <c r="P104" s="63">
        <f>IF(N104&lt;&gt;"",N104-O104,"")</f>
        <v/>
      </c>
      <c r="Q104" s="59" t="n"/>
      <c r="R104" s="59" t="n"/>
      <c r="S104" s="59" t="n"/>
      <c r="T104" s="60" t="n"/>
      <c r="U104" s="64">
        <f>IF(E104&lt;&gt;"","MUD-"&amp;TEXT(ROW()-3,"000"),"")</f>
        <v/>
      </c>
      <c r="V104" s="61" t="n"/>
      <c r="W104" s="59" t="n"/>
      <c r="X104" s="57" t="n"/>
      <c r="Y104" s="57" t="n"/>
      <c r="Z104" s="57" t="n"/>
      <c r="AA104" s="65" t="n"/>
      <c r="AB104" s="66">
        <f>IF(AND(X104&lt;&gt;"",Z104&lt;&gt;""),IFERROR((Z104-X104)*24,""),"")</f>
        <v/>
      </c>
      <c r="AC104" s="59" t="n"/>
      <c r="AD104" s="59" t="n"/>
      <c r="AE104" s="59" t="n"/>
      <c r="AF104" s="59" t="n"/>
      <c r="AG104" s="59" t="n"/>
      <c r="AH104" s="59" t="n"/>
      <c r="AI104" s="59" t="n"/>
      <c r="AJ104" s="61" t="n"/>
      <c r="AK104" s="61" t="n"/>
    </row>
    <row r="105" ht="18" customHeight="1">
      <c r="A105" s="54">
        <f>IF(E105&lt;&gt;"","MUD-"&amp;TEXT(ROW()-3,"000"),"")</f>
        <v/>
      </c>
      <c r="B105" s="67">
        <f>IF(E105&lt;&gt;"",TODAY(),"")</f>
        <v/>
      </c>
      <c r="C105" s="68" t="n"/>
      <c r="D105" s="69" t="n"/>
      <c r="E105" s="70" t="n"/>
      <c r="F105" s="70" t="n"/>
      <c r="G105" s="71" t="n"/>
      <c r="H105" s="70" t="n"/>
      <c r="I105" s="70" t="n"/>
      <c r="J105" s="72" t="n"/>
      <c r="K105" s="71" t="n"/>
      <c r="L105" s="73" t="n"/>
      <c r="M105" s="73" t="n"/>
      <c r="N105" s="74" t="n"/>
      <c r="O105" s="74" t="n"/>
      <c r="P105" s="63">
        <f>IF(N105&lt;&gt;"",N105-O105,"")</f>
        <v/>
      </c>
      <c r="Q105" s="71" t="n"/>
      <c r="R105" s="71" t="n"/>
      <c r="S105" s="71" t="n"/>
      <c r="T105" s="72" t="n"/>
      <c r="U105" s="64">
        <f>IF(E105&lt;&gt;"","MUD-"&amp;TEXT(ROW()-3,"000"),"")</f>
        <v/>
      </c>
      <c r="V105" s="73" t="n"/>
      <c r="W105" s="71" t="n"/>
      <c r="X105" s="69" t="n"/>
      <c r="Y105" s="69" t="n"/>
      <c r="Z105" s="69" t="n"/>
      <c r="AA105" s="75" t="n"/>
      <c r="AB105" s="66">
        <f>IF(AND(X105&lt;&gt;"",Z105&lt;&gt;""),IFERROR((Z105-X105)*24,""),"")</f>
        <v/>
      </c>
      <c r="AC105" s="71" t="n"/>
      <c r="AD105" s="71" t="n"/>
      <c r="AE105" s="71" t="n"/>
      <c r="AF105" s="71" t="n"/>
      <c r="AG105" s="71" t="n"/>
      <c r="AH105" s="71" t="n"/>
      <c r="AI105" s="71" t="n"/>
      <c r="AJ105" s="73" t="n"/>
      <c r="AK105" s="73" t="n"/>
    </row>
    <row r="106" ht="18" customHeight="1">
      <c r="A106" s="54">
        <f>IF(E106&lt;&gt;"","MUD-"&amp;TEXT(ROW()-3,"000"),"")</f>
        <v/>
      </c>
      <c r="B106" s="55">
        <f>IF(E106&lt;&gt;"",TODAY(),"")</f>
        <v/>
      </c>
      <c r="C106" s="56" t="n"/>
      <c r="D106" s="57" t="n"/>
      <c r="E106" s="58" t="n"/>
      <c r="F106" s="58" t="n"/>
      <c r="G106" s="59" t="n"/>
      <c r="H106" s="58" t="n"/>
      <c r="I106" s="58" t="n"/>
      <c r="J106" s="60" t="n"/>
      <c r="K106" s="59" t="n"/>
      <c r="L106" s="61" t="n"/>
      <c r="M106" s="61" t="n"/>
      <c r="N106" s="62" t="n"/>
      <c r="O106" s="62" t="n"/>
      <c r="P106" s="63">
        <f>IF(N106&lt;&gt;"",N106-O106,"")</f>
        <v/>
      </c>
      <c r="Q106" s="59" t="n"/>
      <c r="R106" s="59" t="n"/>
      <c r="S106" s="59" t="n"/>
      <c r="T106" s="60" t="n"/>
      <c r="U106" s="64">
        <f>IF(E106&lt;&gt;"","MUD-"&amp;TEXT(ROW()-3,"000"),"")</f>
        <v/>
      </c>
      <c r="V106" s="61" t="n"/>
      <c r="W106" s="59" t="n"/>
      <c r="X106" s="57" t="n"/>
      <c r="Y106" s="57" t="n"/>
      <c r="Z106" s="57" t="n"/>
      <c r="AA106" s="65" t="n"/>
      <c r="AB106" s="66">
        <f>IF(AND(X106&lt;&gt;"",Z106&lt;&gt;""),IFERROR((Z106-X106)*24,""),"")</f>
        <v/>
      </c>
      <c r="AC106" s="59" t="n"/>
      <c r="AD106" s="59" t="n"/>
      <c r="AE106" s="59" t="n"/>
      <c r="AF106" s="59" t="n"/>
      <c r="AG106" s="59" t="n"/>
      <c r="AH106" s="59" t="n"/>
      <c r="AI106" s="59" t="n"/>
      <c r="AJ106" s="61" t="n"/>
      <c r="AK106" s="61" t="n"/>
    </row>
    <row r="107" ht="18" customHeight="1">
      <c r="A107" s="54">
        <f>IF(E107&lt;&gt;"","MUD-"&amp;TEXT(ROW()-3,"000"),"")</f>
        <v/>
      </c>
      <c r="B107" s="67">
        <f>IF(E107&lt;&gt;"",TODAY(),"")</f>
        <v/>
      </c>
      <c r="C107" s="68" t="n"/>
      <c r="D107" s="69" t="n"/>
      <c r="E107" s="70" t="n"/>
      <c r="F107" s="70" t="n"/>
      <c r="G107" s="71" t="n"/>
      <c r="H107" s="70" t="n"/>
      <c r="I107" s="70" t="n"/>
      <c r="J107" s="72" t="n"/>
      <c r="K107" s="71" t="n"/>
      <c r="L107" s="73" t="n"/>
      <c r="M107" s="73" t="n"/>
      <c r="N107" s="74" t="n"/>
      <c r="O107" s="74" t="n"/>
      <c r="P107" s="63">
        <f>IF(N107&lt;&gt;"",N107-O107,"")</f>
        <v/>
      </c>
      <c r="Q107" s="71" t="n"/>
      <c r="R107" s="71" t="n"/>
      <c r="S107" s="71" t="n"/>
      <c r="T107" s="72" t="n"/>
      <c r="U107" s="64">
        <f>IF(E107&lt;&gt;"","MUD-"&amp;TEXT(ROW()-3,"000"),"")</f>
        <v/>
      </c>
      <c r="V107" s="73" t="n"/>
      <c r="W107" s="71" t="n"/>
      <c r="X107" s="69" t="n"/>
      <c r="Y107" s="69" t="n"/>
      <c r="Z107" s="69" t="n"/>
      <c r="AA107" s="75" t="n"/>
      <c r="AB107" s="66">
        <f>IF(AND(X107&lt;&gt;"",Z107&lt;&gt;""),IFERROR((Z107-X107)*24,""),"")</f>
        <v/>
      </c>
      <c r="AC107" s="71" t="n"/>
      <c r="AD107" s="71" t="n"/>
      <c r="AE107" s="71" t="n"/>
      <c r="AF107" s="71" t="n"/>
      <c r="AG107" s="71" t="n"/>
      <c r="AH107" s="71" t="n"/>
      <c r="AI107" s="71" t="n"/>
      <c r="AJ107" s="73" t="n"/>
      <c r="AK107" s="73" t="n"/>
    </row>
    <row r="108" ht="18" customHeight="1">
      <c r="A108" s="54">
        <f>IF(E108&lt;&gt;"","MUD-"&amp;TEXT(ROW()-3,"000"),"")</f>
        <v/>
      </c>
      <c r="B108" s="55">
        <f>IF(E108&lt;&gt;"",TODAY(),"")</f>
        <v/>
      </c>
      <c r="C108" s="56" t="n"/>
      <c r="D108" s="57" t="n"/>
      <c r="E108" s="58" t="n"/>
      <c r="F108" s="58" t="n"/>
      <c r="G108" s="59" t="n"/>
      <c r="H108" s="58" t="n"/>
      <c r="I108" s="58" t="n"/>
      <c r="J108" s="60" t="n"/>
      <c r="K108" s="59" t="n"/>
      <c r="L108" s="61" t="n"/>
      <c r="M108" s="61" t="n"/>
      <c r="N108" s="62" t="n"/>
      <c r="O108" s="62" t="n"/>
      <c r="P108" s="63">
        <f>IF(N108&lt;&gt;"",N108-O108,"")</f>
        <v/>
      </c>
      <c r="Q108" s="59" t="n"/>
      <c r="R108" s="59" t="n"/>
      <c r="S108" s="59" t="n"/>
      <c r="T108" s="60" t="n"/>
      <c r="U108" s="64">
        <f>IF(E108&lt;&gt;"","MUD-"&amp;TEXT(ROW()-3,"000"),"")</f>
        <v/>
      </c>
      <c r="V108" s="61" t="n"/>
      <c r="W108" s="59" t="n"/>
      <c r="X108" s="57" t="n"/>
      <c r="Y108" s="57" t="n"/>
      <c r="Z108" s="57" t="n"/>
      <c r="AA108" s="65" t="n"/>
      <c r="AB108" s="66">
        <f>IF(AND(X108&lt;&gt;"",Z108&lt;&gt;""),IFERROR((Z108-X108)*24,""),"")</f>
        <v/>
      </c>
      <c r="AC108" s="59" t="n"/>
      <c r="AD108" s="59" t="n"/>
      <c r="AE108" s="59" t="n"/>
      <c r="AF108" s="59" t="n"/>
      <c r="AG108" s="59" t="n"/>
      <c r="AH108" s="59" t="n"/>
      <c r="AI108" s="59" t="n"/>
      <c r="AJ108" s="61" t="n"/>
      <c r="AK108" s="61" t="n"/>
    </row>
    <row r="109" ht="18" customHeight="1">
      <c r="A109" s="54">
        <f>IF(E109&lt;&gt;"","MUD-"&amp;TEXT(ROW()-3,"000"),"")</f>
        <v/>
      </c>
      <c r="B109" s="67">
        <f>IF(E109&lt;&gt;"",TODAY(),"")</f>
        <v/>
      </c>
      <c r="C109" s="68" t="n"/>
      <c r="D109" s="69" t="n"/>
      <c r="E109" s="70" t="n"/>
      <c r="F109" s="70" t="n"/>
      <c r="G109" s="71" t="n"/>
      <c r="H109" s="70" t="n"/>
      <c r="I109" s="70" t="n"/>
      <c r="J109" s="72" t="n"/>
      <c r="K109" s="71" t="n"/>
      <c r="L109" s="73" t="n"/>
      <c r="M109" s="73" t="n"/>
      <c r="N109" s="74" t="n"/>
      <c r="O109" s="74" t="n"/>
      <c r="P109" s="63">
        <f>IF(N109&lt;&gt;"",N109-O109,"")</f>
        <v/>
      </c>
      <c r="Q109" s="71" t="n"/>
      <c r="R109" s="71" t="n"/>
      <c r="S109" s="71" t="n"/>
      <c r="T109" s="72" t="n"/>
      <c r="U109" s="64">
        <f>IF(E109&lt;&gt;"","MUD-"&amp;TEXT(ROW()-3,"000"),"")</f>
        <v/>
      </c>
      <c r="V109" s="73" t="n"/>
      <c r="W109" s="71" t="n"/>
      <c r="X109" s="69" t="n"/>
      <c r="Y109" s="69" t="n"/>
      <c r="Z109" s="69" t="n"/>
      <c r="AA109" s="75" t="n"/>
      <c r="AB109" s="66">
        <f>IF(AND(X109&lt;&gt;"",Z109&lt;&gt;""),IFERROR((Z109-X109)*24,""),"")</f>
        <v/>
      </c>
      <c r="AC109" s="71" t="n"/>
      <c r="AD109" s="71" t="n"/>
      <c r="AE109" s="71" t="n"/>
      <c r="AF109" s="71" t="n"/>
      <c r="AG109" s="71" t="n"/>
      <c r="AH109" s="71" t="n"/>
      <c r="AI109" s="71" t="n"/>
      <c r="AJ109" s="73" t="n"/>
      <c r="AK109" s="73" t="n"/>
    </row>
    <row r="110" ht="18" customHeight="1">
      <c r="A110" s="54">
        <f>IF(E110&lt;&gt;"","MUD-"&amp;TEXT(ROW()-3,"000"),"")</f>
        <v/>
      </c>
      <c r="B110" s="55">
        <f>IF(E110&lt;&gt;"",TODAY(),"")</f>
        <v/>
      </c>
      <c r="C110" s="56" t="n"/>
      <c r="D110" s="57" t="n"/>
      <c r="E110" s="58" t="n"/>
      <c r="F110" s="58" t="n"/>
      <c r="G110" s="59" t="n"/>
      <c r="H110" s="58" t="n"/>
      <c r="I110" s="58" t="n"/>
      <c r="J110" s="60" t="n"/>
      <c r="K110" s="59" t="n"/>
      <c r="L110" s="61" t="n"/>
      <c r="M110" s="61" t="n"/>
      <c r="N110" s="62" t="n"/>
      <c r="O110" s="62" t="n"/>
      <c r="P110" s="63">
        <f>IF(N110&lt;&gt;"",N110-O110,"")</f>
        <v/>
      </c>
      <c r="Q110" s="59" t="n"/>
      <c r="R110" s="59" t="n"/>
      <c r="S110" s="59" t="n"/>
      <c r="T110" s="60" t="n"/>
      <c r="U110" s="64">
        <f>IF(E110&lt;&gt;"","MUD-"&amp;TEXT(ROW()-3,"000"),"")</f>
        <v/>
      </c>
      <c r="V110" s="61" t="n"/>
      <c r="W110" s="59" t="n"/>
      <c r="X110" s="57" t="n"/>
      <c r="Y110" s="57" t="n"/>
      <c r="Z110" s="57" t="n"/>
      <c r="AA110" s="65" t="n"/>
      <c r="AB110" s="66">
        <f>IF(AND(X110&lt;&gt;"",Z110&lt;&gt;""),IFERROR((Z110-X110)*24,""),"")</f>
        <v/>
      </c>
      <c r="AC110" s="59" t="n"/>
      <c r="AD110" s="59" t="n"/>
      <c r="AE110" s="59" t="n"/>
      <c r="AF110" s="59" t="n"/>
      <c r="AG110" s="59" t="n"/>
      <c r="AH110" s="59" t="n"/>
      <c r="AI110" s="59" t="n"/>
      <c r="AJ110" s="61" t="n"/>
      <c r="AK110" s="61" t="n"/>
    </row>
    <row r="111" ht="18" customHeight="1">
      <c r="A111" s="54">
        <f>IF(E111&lt;&gt;"","MUD-"&amp;TEXT(ROW()-3,"000"),"")</f>
        <v/>
      </c>
      <c r="B111" s="67">
        <f>IF(E111&lt;&gt;"",TODAY(),"")</f>
        <v/>
      </c>
      <c r="C111" s="68" t="n"/>
      <c r="D111" s="69" t="n"/>
      <c r="E111" s="70" t="n"/>
      <c r="F111" s="70" t="n"/>
      <c r="G111" s="71" t="n"/>
      <c r="H111" s="70" t="n"/>
      <c r="I111" s="70" t="n"/>
      <c r="J111" s="72" t="n"/>
      <c r="K111" s="71" t="n"/>
      <c r="L111" s="73" t="n"/>
      <c r="M111" s="73" t="n"/>
      <c r="N111" s="74" t="n"/>
      <c r="O111" s="74" t="n"/>
      <c r="P111" s="63">
        <f>IF(N111&lt;&gt;"",N111-O111,"")</f>
        <v/>
      </c>
      <c r="Q111" s="71" t="n"/>
      <c r="R111" s="71" t="n"/>
      <c r="S111" s="71" t="n"/>
      <c r="T111" s="72" t="n"/>
      <c r="U111" s="64">
        <f>IF(E111&lt;&gt;"","MUD-"&amp;TEXT(ROW()-3,"000"),"")</f>
        <v/>
      </c>
      <c r="V111" s="73" t="n"/>
      <c r="W111" s="71" t="n"/>
      <c r="X111" s="69" t="n"/>
      <c r="Y111" s="69" t="n"/>
      <c r="Z111" s="69" t="n"/>
      <c r="AA111" s="75" t="n"/>
      <c r="AB111" s="66">
        <f>IF(AND(X111&lt;&gt;"",Z111&lt;&gt;""),IFERROR((Z111-X111)*24,""),"")</f>
        <v/>
      </c>
      <c r="AC111" s="71" t="n"/>
      <c r="AD111" s="71" t="n"/>
      <c r="AE111" s="71" t="n"/>
      <c r="AF111" s="71" t="n"/>
      <c r="AG111" s="71" t="n"/>
      <c r="AH111" s="71" t="n"/>
      <c r="AI111" s="71" t="n"/>
      <c r="AJ111" s="73" t="n"/>
      <c r="AK111" s="73" t="n"/>
    </row>
    <row r="112" ht="18" customHeight="1">
      <c r="A112" s="54">
        <f>IF(E112&lt;&gt;"","MUD-"&amp;TEXT(ROW()-3,"000"),"")</f>
        <v/>
      </c>
      <c r="B112" s="55">
        <f>IF(E112&lt;&gt;"",TODAY(),"")</f>
        <v/>
      </c>
      <c r="C112" s="56" t="n"/>
      <c r="D112" s="57" t="n"/>
      <c r="E112" s="58" t="n"/>
      <c r="F112" s="58" t="n"/>
      <c r="G112" s="59" t="n"/>
      <c r="H112" s="58" t="n"/>
      <c r="I112" s="58" t="n"/>
      <c r="J112" s="60" t="n"/>
      <c r="K112" s="59" t="n"/>
      <c r="L112" s="61" t="n"/>
      <c r="M112" s="61" t="n"/>
      <c r="N112" s="62" t="n"/>
      <c r="O112" s="62" t="n"/>
      <c r="P112" s="63">
        <f>IF(N112&lt;&gt;"",N112-O112,"")</f>
        <v/>
      </c>
      <c r="Q112" s="59" t="n"/>
      <c r="R112" s="59" t="n"/>
      <c r="S112" s="59" t="n"/>
      <c r="T112" s="60" t="n"/>
      <c r="U112" s="64">
        <f>IF(E112&lt;&gt;"","MUD-"&amp;TEXT(ROW()-3,"000"),"")</f>
        <v/>
      </c>
      <c r="V112" s="61" t="n"/>
      <c r="W112" s="59" t="n"/>
      <c r="X112" s="57" t="n"/>
      <c r="Y112" s="57" t="n"/>
      <c r="Z112" s="57" t="n"/>
      <c r="AA112" s="65" t="n"/>
      <c r="AB112" s="66">
        <f>IF(AND(X112&lt;&gt;"",Z112&lt;&gt;""),IFERROR((Z112-X112)*24,""),"")</f>
        <v/>
      </c>
      <c r="AC112" s="59" t="n"/>
      <c r="AD112" s="59" t="n"/>
      <c r="AE112" s="59" t="n"/>
      <c r="AF112" s="59" t="n"/>
      <c r="AG112" s="59" t="n"/>
      <c r="AH112" s="59" t="n"/>
      <c r="AI112" s="59" t="n"/>
      <c r="AJ112" s="61" t="n"/>
      <c r="AK112" s="61" t="n"/>
    </row>
    <row r="113" ht="18" customHeight="1">
      <c r="A113" s="54">
        <f>IF(E113&lt;&gt;"","MUD-"&amp;TEXT(ROW()-3,"000"),"")</f>
        <v/>
      </c>
      <c r="B113" s="67">
        <f>IF(E113&lt;&gt;"",TODAY(),"")</f>
        <v/>
      </c>
      <c r="C113" s="68" t="n"/>
      <c r="D113" s="69" t="n"/>
      <c r="E113" s="70" t="n"/>
      <c r="F113" s="70" t="n"/>
      <c r="G113" s="71" t="n"/>
      <c r="H113" s="70" t="n"/>
      <c r="I113" s="70" t="n"/>
      <c r="J113" s="72" t="n"/>
      <c r="K113" s="71" t="n"/>
      <c r="L113" s="73" t="n"/>
      <c r="M113" s="73" t="n"/>
      <c r="N113" s="74" t="n"/>
      <c r="O113" s="74" t="n"/>
      <c r="P113" s="63">
        <f>IF(N113&lt;&gt;"",N113-O113,"")</f>
        <v/>
      </c>
      <c r="Q113" s="71" t="n"/>
      <c r="R113" s="71" t="n"/>
      <c r="S113" s="71" t="n"/>
      <c r="T113" s="72" t="n"/>
      <c r="U113" s="64">
        <f>IF(E113&lt;&gt;"","MUD-"&amp;TEXT(ROW()-3,"000"),"")</f>
        <v/>
      </c>
      <c r="V113" s="73" t="n"/>
      <c r="W113" s="71" t="n"/>
      <c r="X113" s="69" t="n"/>
      <c r="Y113" s="69" t="n"/>
      <c r="Z113" s="69" t="n"/>
      <c r="AA113" s="75" t="n"/>
      <c r="AB113" s="66">
        <f>IF(AND(X113&lt;&gt;"",Z113&lt;&gt;""),IFERROR((Z113-X113)*24,""),"")</f>
        <v/>
      </c>
      <c r="AC113" s="71" t="n"/>
      <c r="AD113" s="71" t="n"/>
      <c r="AE113" s="71" t="n"/>
      <c r="AF113" s="71" t="n"/>
      <c r="AG113" s="71" t="n"/>
      <c r="AH113" s="71" t="n"/>
      <c r="AI113" s="71" t="n"/>
      <c r="AJ113" s="73" t="n"/>
      <c r="AK113" s="73" t="n"/>
    </row>
    <row r="114" ht="18" customHeight="1">
      <c r="A114" s="54">
        <f>IF(E114&lt;&gt;"","MUD-"&amp;TEXT(ROW()-3,"000"),"")</f>
        <v/>
      </c>
      <c r="B114" s="55">
        <f>IF(E114&lt;&gt;"",TODAY(),"")</f>
        <v/>
      </c>
      <c r="C114" s="56" t="n"/>
      <c r="D114" s="57" t="n"/>
      <c r="E114" s="58" t="n"/>
      <c r="F114" s="58" t="n"/>
      <c r="G114" s="59" t="n"/>
      <c r="H114" s="58" t="n"/>
      <c r="I114" s="58" t="n"/>
      <c r="J114" s="60" t="n"/>
      <c r="K114" s="59" t="n"/>
      <c r="L114" s="61" t="n"/>
      <c r="M114" s="61" t="n"/>
      <c r="N114" s="62" t="n"/>
      <c r="O114" s="62" t="n"/>
      <c r="P114" s="63">
        <f>IF(N114&lt;&gt;"",N114-O114,"")</f>
        <v/>
      </c>
      <c r="Q114" s="59" t="n"/>
      <c r="R114" s="59" t="n"/>
      <c r="S114" s="59" t="n"/>
      <c r="T114" s="60" t="n"/>
      <c r="U114" s="64">
        <f>IF(E114&lt;&gt;"","MUD-"&amp;TEXT(ROW()-3,"000"),"")</f>
        <v/>
      </c>
      <c r="V114" s="61" t="n"/>
      <c r="W114" s="59" t="n"/>
      <c r="X114" s="57" t="n"/>
      <c r="Y114" s="57" t="n"/>
      <c r="Z114" s="57" t="n"/>
      <c r="AA114" s="65" t="n"/>
      <c r="AB114" s="66">
        <f>IF(AND(X114&lt;&gt;"",Z114&lt;&gt;""),IFERROR((Z114-X114)*24,""),"")</f>
        <v/>
      </c>
      <c r="AC114" s="59" t="n"/>
      <c r="AD114" s="59" t="n"/>
      <c r="AE114" s="59" t="n"/>
      <c r="AF114" s="59" t="n"/>
      <c r="AG114" s="59" t="n"/>
      <c r="AH114" s="59" t="n"/>
      <c r="AI114" s="59" t="n"/>
      <c r="AJ114" s="61" t="n"/>
      <c r="AK114" s="61" t="n"/>
    </row>
    <row r="115" ht="18" customHeight="1">
      <c r="A115" s="54">
        <f>IF(E115&lt;&gt;"","MUD-"&amp;TEXT(ROW()-3,"000"),"")</f>
        <v/>
      </c>
      <c r="B115" s="67">
        <f>IF(E115&lt;&gt;"",TODAY(),"")</f>
        <v/>
      </c>
      <c r="C115" s="68" t="n"/>
      <c r="D115" s="69" t="n"/>
      <c r="E115" s="70" t="n"/>
      <c r="F115" s="70" t="n"/>
      <c r="G115" s="71" t="n"/>
      <c r="H115" s="70" t="n"/>
      <c r="I115" s="70" t="n"/>
      <c r="J115" s="72" t="n"/>
      <c r="K115" s="71" t="n"/>
      <c r="L115" s="73" t="n"/>
      <c r="M115" s="73" t="n"/>
      <c r="N115" s="74" t="n"/>
      <c r="O115" s="74" t="n"/>
      <c r="P115" s="63">
        <f>IF(N115&lt;&gt;"",N115-O115,"")</f>
        <v/>
      </c>
      <c r="Q115" s="71" t="n"/>
      <c r="R115" s="71" t="n"/>
      <c r="S115" s="71" t="n"/>
      <c r="T115" s="72" t="n"/>
      <c r="U115" s="64">
        <f>IF(E115&lt;&gt;"","MUD-"&amp;TEXT(ROW()-3,"000"),"")</f>
        <v/>
      </c>
      <c r="V115" s="73" t="n"/>
      <c r="W115" s="71" t="n"/>
      <c r="X115" s="69" t="n"/>
      <c r="Y115" s="69" t="n"/>
      <c r="Z115" s="69" t="n"/>
      <c r="AA115" s="75" t="n"/>
      <c r="AB115" s="66">
        <f>IF(AND(X115&lt;&gt;"",Z115&lt;&gt;""),IFERROR((Z115-X115)*24,""),"")</f>
        <v/>
      </c>
      <c r="AC115" s="71" t="n"/>
      <c r="AD115" s="71" t="n"/>
      <c r="AE115" s="71" t="n"/>
      <c r="AF115" s="71" t="n"/>
      <c r="AG115" s="71" t="n"/>
      <c r="AH115" s="71" t="n"/>
      <c r="AI115" s="71" t="n"/>
      <c r="AJ115" s="73" t="n"/>
      <c r="AK115" s="73" t="n"/>
    </row>
    <row r="116" ht="18" customHeight="1">
      <c r="A116" s="54">
        <f>IF(E116&lt;&gt;"","MUD-"&amp;TEXT(ROW()-3,"000"),"")</f>
        <v/>
      </c>
      <c r="B116" s="55">
        <f>IF(E116&lt;&gt;"",TODAY(),"")</f>
        <v/>
      </c>
      <c r="C116" s="56" t="n"/>
      <c r="D116" s="57" t="n"/>
      <c r="E116" s="58" t="n"/>
      <c r="F116" s="58" t="n"/>
      <c r="G116" s="59" t="n"/>
      <c r="H116" s="58" t="n"/>
      <c r="I116" s="58" t="n"/>
      <c r="J116" s="60" t="n"/>
      <c r="K116" s="59" t="n"/>
      <c r="L116" s="61" t="n"/>
      <c r="M116" s="61" t="n"/>
      <c r="N116" s="62" t="n"/>
      <c r="O116" s="62" t="n"/>
      <c r="P116" s="63">
        <f>IF(N116&lt;&gt;"",N116-O116,"")</f>
        <v/>
      </c>
      <c r="Q116" s="59" t="n"/>
      <c r="R116" s="59" t="n"/>
      <c r="S116" s="59" t="n"/>
      <c r="T116" s="60" t="n"/>
      <c r="U116" s="64">
        <f>IF(E116&lt;&gt;"","MUD-"&amp;TEXT(ROW()-3,"000"),"")</f>
        <v/>
      </c>
      <c r="V116" s="61" t="n"/>
      <c r="W116" s="59" t="n"/>
      <c r="X116" s="57" t="n"/>
      <c r="Y116" s="57" t="n"/>
      <c r="Z116" s="57" t="n"/>
      <c r="AA116" s="65" t="n"/>
      <c r="AB116" s="66">
        <f>IF(AND(X116&lt;&gt;"",Z116&lt;&gt;""),IFERROR((Z116-X116)*24,""),"")</f>
        <v/>
      </c>
      <c r="AC116" s="59" t="n"/>
      <c r="AD116" s="59" t="n"/>
      <c r="AE116" s="59" t="n"/>
      <c r="AF116" s="59" t="n"/>
      <c r="AG116" s="59" t="n"/>
      <c r="AH116" s="59" t="n"/>
      <c r="AI116" s="59" t="n"/>
      <c r="AJ116" s="61" t="n"/>
      <c r="AK116" s="61" t="n"/>
    </row>
    <row r="117" ht="18" customHeight="1">
      <c r="A117" s="54">
        <f>IF(E117&lt;&gt;"","MUD-"&amp;TEXT(ROW()-3,"000"),"")</f>
        <v/>
      </c>
      <c r="B117" s="67">
        <f>IF(E117&lt;&gt;"",TODAY(),"")</f>
        <v/>
      </c>
      <c r="C117" s="68" t="n"/>
      <c r="D117" s="69" t="n"/>
      <c r="E117" s="70" t="n"/>
      <c r="F117" s="70" t="n"/>
      <c r="G117" s="71" t="n"/>
      <c r="H117" s="70" t="n"/>
      <c r="I117" s="70" t="n"/>
      <c r="J117" s="72" t="n"/>
      <c r="K117" s="71" t="n"/>
      <c r="L117" s="73" t="n"/>
      <c r="M117" s="73" t="n"/>
      <c r="N117" s="74" t="n"/>
      <c r="O117" s="74" t="n"/>
      <c r="P117" s="63">
        <f>IF(N117&lt;&gt;"",N117-O117,"")</f>
        <v/>
      </c>
      <c r="Q117" s="71" t="n"/>
      <c r="R117" s="71" t="n"/>
      <c r="S117" s="71" t="n"/>
      <c r="T117" s="72" t="n"/>
      <c r="U117" s="64">
        <f>IF(E117&lt;&gt;"","MUD-"&amp;TEXT(ROW()-3,"000"),"")</f>
        <v/>
      </c>
      <c r="V117" s="73" t="n"/>
      <c r="W117" s="71" t="n"/>
      <c r="X117" s="69" t="n"/>
      <c r="Y117" s="69" t="n"/>
      <c r="Z117" s="69" t="n"/>
      <c r="AA117" s="75" t="n"/>
      <c r="AB117" s="66">
        <f>IF(AND(X117&lt;&gt;"",Z117&lt;&gt;""),IFERROR((Z117-X117)*24,""),"")</f>
        <v/>
      </c>
      <c r="AC117" s="71" t="n"/>
      <c r="AD117" s="71" t="n"/>
      <c r="AE117" s="71" t="n"/>
      <c r="AF117" s="71" t="n"/>
      <c r="AG117" s="71" t="n"/>
      <c r="AH117" s="71" t="n"/>
      <c r="AI117" s="71" t="n"/>
      <c r="AJ117" s="73" t="n"/>
      <c r="AK117" s="73" t="n"/>
    </row>
    <row r="118" ht="18" customHeight="1">
      <c r="A118" s="54">
        <f>IF(E118&lt;&gt;"","MUD-"&amp;TEXT(ROW()-3,"000"),"")</f>
        <v/>
      </c>
      <c r="B118" s="55">
        <f>IF(E118&lt;&gt;"",TODAY(),"")</f>
        <v/>
      </c>
      <c r="C118" s="56" t="n"/>
      <c r="D118" s="57" t="n"/>
      <c r="E118" s="58" t="n"/>
      <c r="F118" s="58" t="n"/>
      <c r="G118" s="59" t="n"/>
      <c r="H118" s="58" t="n"/>
      <c r="I118" s="58" t="n"/>
      <c r="J118" s="60" t="n"/>
      <c r="K118" s="59" t="n"/>
      <c r="L118" s="61" t="n"/>
      <c r="M118" s="61" t="n"/>
      <c r="N118" s="62" t="n"/>
      <c r="O118" s="62" t="n"/>
      <c r="P118" s="63">
        <f>IF(N118&lt;&gt;"",N118-O118,"")</f>
        <v/>
      </c>
      <c r="Q118" s="59" t="n"/>
      <c r="R118" s="59" t="n"/>
      <c r="S118" s="59" t="n"/>
      <c r="T118" s="60" t="n"/>
      <c r="U118" s="64">
        <f>IF(E118&lt;&gt;"","MUD-"&amp;TEXT(ROW()-3,"000"),"")</f>
        <v/>
      </c>
      <c r="V118" s="61" t="n"/>
      <c r="W118" s="59" t="n"/>
      <c r="X118" s="57" t="n"/>
      <c r="Y118" s="57" t="n"/>
      <c r="Z118" s="57" t="n"/>
      <c r="AA118" s="65" t="n"/>
      <c r="AB118" s="66">
        <f>IF(AND(X118&lt;&gt;"",Z118&lt;&gt;""),IFERROR((Z118-X118)*24,""),"")</f>
        <v/>
      </c>
      <c r="AC118" s="59" t="n"/>
      <c r="AD118" s="59" t="n"/>
      <c r="AE118" s="59" t="n"/>
      <c r="AF118" s="59" t="n"/>
      <c r="AG118" s="59" t="n"/>
      <c r="AH118" s="59" t="n"/>
      <c r="AI118" s="59" t="n"/>
      <c r="AJ118" s="61" t="n"/>
      <c r="AK118" s="61" t="n"/>
    </row>
    <row r="119" ht="18" customHeight="1">
      <c r="A119" s="54">
        <f>IF(E119&lt;&gt;"","MUD-"&amp;TEXT(ROW()-3,"000"),"")</f>
        <v/>
      </c>
      <c r="B119" s="67">
        <f>IF(E119&lt;&gt;"",TODAY(),"")</f>
        <v/>
      </c>
      <c r="C119" s="68" t="n"/>
      <c r="D119" s="69" t="n"/>
      <c r="E119" s="70" t="n"/>
      <c r="F119" s="70" t="n"/>
      <c r="G119" s="71" t="n"/>
      <c r="H119" s="70" t="n"/>
      <c r="I119" s="70" t="n"/>
      <c r="J119" s="72" t="n"/>
      <c r="K119" s="71" t="n"/>
      <c r="L119" s="73" t="n"/>
      <c r="M119" s="73" t="n"/>
      <c r="N119" s="74" t="n"/>
      <c r="O119" s="74" t="n"/>
      <c r="P119" s="63">
        <f>IF(N119&lt;&gt;"",N119-O119,"")</f>
        <v/>
      </c>
      <c r="Q119" s="71" t="n"/>
      <c r="R119" s="71" t="n"/>
      <c r="S119" s="71" t="n"/>
      <c r="T119" s="72" t="n"/>
      <c r="U119" s="64">
        <f>IF(E119&lt;&gt;"","MUD-"&amp;TEXT(ROW()-3,"000"),"")</f>
        <v/>
      </c>
      <c r="V119" s="73" t="n"/>
      <c r="W119" s="71" t="n"/>
      <c r="X119" s="69" t="n"/>
      <c r="Y119" s="69" t="n"/>
      <c r="Z119" s="69" t="n"/>
      <c r="AA119" s="75" t="n"/>
      <c r="AB119" s="66">
        <f>IF(AND(X119&lt;&gt;"",Z119&lt;&gt;""),IFERROR((Z119-X119)*24,""),"")</f>
        <v/>
      </c>
      <c r="AC119" s="71" t="n"/>
      <c r="AD119" s="71" t="n"/>
      <c r="AE119" s="71" t="n"/>
      <c r="AF119" s="71" t="n"/>
      <c r="AG119" s="71" t="n"/>
      <c r="AH119" s="71" t="n"/>
      <c r="AI119" s="71" t="n"/>
      <c r="AJ119" s="73" t="n"/>
      <c r="AK119" s="73" t="n"/>
    </row>
    <row r="120" ht="18" customHeight="1">
      <c r="A120" s="54">
        <f>IF(E120&lt;&gt;"","MUD-"&amp;TEXT(ROW()-3,"000"),"")</f>
        <v/>
      </c>
      <c r="B120" s="55">
        <f>IF(E120&lt;&gt;"",TODAY(),"")</f>
        <v/>
      </c>
      <c r="C120" s="56" t="n"/>
      <c r="D120" s="57" t="n"/>
      <c r="E120" s="58" t="n"/>
      <c r="F120" s="58" t="n"/>
      <c r="G120" s="59" t="n"/>
      <c r="H120" s="58" t="n"/>
      <c r="I120" s="58" t="n"/>
      <c r="J120" s="60" t="n"/>
      <c r="K120" s="59" t="n"/>
      <c r="L120" s="61" t="n"/>
      <c r="M120" s="61" t="n"/>
      <c r="N120" s="62" t="n"/>
      <c r="O120" s="62" t="n"/>
      <c r="P120" s="63">
        <f>IF(N120&lt;&gt;"",N120-O120,"")</f>
        <v/>
      </c>
      <c r="Q120" s="59" t="n"/>
      <c r="R120" s="59" t="n"/>
      <c r="S120" s="59" t="n"/>
      <c r="T120" s="60" t="n"/>
      <c r="U120" s="64">
        <f>IF(E120&lt;&gt;"","MUD-"&amp;TEXT(ROW()-3,"000"),"")</f>
        <v/>
      </c>
      <c r="V120" s="61" t="n"/>
      <c r="W120" s="59" t="n"/>
      <c r="X120" s="57" t="n"/>
      <c r="Y120" s="57" t="n"/>
      <c r="Z120" s="57" t="n"/>
      <c r="AA120" s="65" t="n"/>
      <c r="AB120" s="66">
        <f>IF(AND(X120&lt;&gt;"",Z120&lt;&gt;""),IFERROR((Z120-X120)*24,""),"")</f>
        <v/>
      </c>
      <c r="AC120" s="59" t="n"/>
      <c r="AD120" s="59" t="n"/>
      <c r="AE120" s="59" t="n"/>
      <c r="AF120" s="59" t="n"/>
      <c r="AG120" s="59" t="n"/>
      <c r="AH120" s="59" t="n"/>
      <c r="AI120" s="59" t="n"/>
      <c r="AJ120" s="61" t="n"/>
      <c r="AK120" s="61" t="n"/>
    </row>
    <row r="121" ht="18" customHeight="1">
      <c r="A121" s="54">
        <f>IF(E121&lt;&gt;"","MUD-"&amp;TEXT(ROW()-3,"000"),"")</f>
        <v/>
      </c>
      <c r="B121" s="67">
        <f>IF(E121&lt;&gt;"",TODAY(),"")</f>
        <v/>
      </c>
      <c r="C121" s="68" t="n"/>
      <c r="D121" s="69" t="n"/>
      <c r="E121" s="70" t="n"/>
      <c r="F121" s="70" t="n"/>
      <c r="G121" s="71" t="n"/>
      <c r="H121" s="70" t="n"/>
      <c r="I121" s="70" t="n"/>
      <c r="J121" s="72" t="n"/>
      <c r="K121" s="71" t="n"/>
      <c r="L121" s="73" t="n"/>
      <c r="M121" s="73" t="n"/>
      <c r="N121" s="74" t="n"/>
      <c r="O121" s="74" t="n"/>
      <c r="P121" s="63">
        <f>IF(N121&lt;&gt;"",N121-O121,"")</f>
        <v/>
      </c>
      <c r="Q121" s="71" t="n"/>
      <c r="R121" s="71" t="n"/>
      <c r="S121" s="71" t="n"/>
      <c r="T121" s="72" t="n"/>
      <c r="U121" s="64">
        <f>IF(E121&lt;&gt;"","MUD-"&amp;TEXT(ROW()-3,"000"),"")</f>
        <v/>
      </c>
      <c r="V121" s="73" t="n"/>
      <c r="W121" s="71" t="n"/>
      <c r="X121" s="69" t="n"/>
      <c r="Y121" s="69" t="n"/>
      <c r="Z121" s="69" t="n"/>
      <c r="AA121" s="75" t="n"/>
      <c r="AB121" s="66">
        <f>IF(AND(X121&lt;&gt;"",Z121&lt;&gt;""),IFERROR((Z121-X121)*24,""),"")</f>
        <v/>
      </c>
      <c r="AC121" s="71" t="n"/>
      <c r="AD121" s="71" t="n"/>
      <c r="AE121" s="71" t="n"/>
      <c r="AF121" s="71" t="n"/>
      <c r="AG121" s="71" t="n"/>
      <c r="AH121" s="71" t="n"/>
      <c r="AI121" s="71" t="n"/>
      <c r="AJ121" s="73" t="n"/>
      <c r="AK121" s="73" t="n"/>
    </row>
    <row r="122" ht="18" customHeight="1">
      <c r="A122" s="54">
        <f>IF(E122&lt;&gt;"","MUD-"&amp;TEXT(ROW()-3,"000"),"")</f>
        <v/>
      </c>
      <c r="B122" s="55">
        <f>IF(E122&lt;&gt;"",TODAY(),"")</f>
        <v/>
      </c>
      <c r="C122" s="56" t="n"/>
      <c r="D122" s="57" t="n"/>
      <c r="E122" s="58" t="n"/>
      <c r="F122" s="58" t="n"/>
      <c r="G122" s="59" t="n"/>
      <c r="H122" s="58" t="n"/>
      <c r="I122" s="58" t="n"/>
      <c r="J122" s="60" t="n"/>
      <c r="K122" s="59" t="n"/>
      <c r="L122" s="61" t="n"/>
      <c r="M122" s="61" t="n"/>
      <c r="N122" s="62" t="n"/>
      <c r="O122" s="62" t="n"/>
      <c r="P122" s="63">
        <f>IF(N122&lt;&gt;"",N122-O122,"")</f>
        <v/>
      </c>
      <c r="Q122" s="59" t="n"/>
      <c r="R122" s="59" t="n"/>
      <c r="S122" s="59" t="n"/>
      <c r="T122" s="60" t="n"/>
      <c r="U122" s="64">
        <f>IF(E122&lt;&gt;"","MUD-"&amp;TEXT(ROW()-3,"000"),"")</f>
        <v/>
      </c>
      <c r="V122" s="61" t="n"/>
      <c r="W122" s="59" t="n"/>
      <c r="X122" s="57" t="n"/>
      <c r="Y122" s="57" t="n"/>
      <c r="Z122" s="57" t="n"/>
      <c r="AA122" s="65" t="n"/>
      <c r="AB122" s="66">
        <f>IF(AND(X122&lt;&gt;"",Z122&lt;&gt;""),IFERROR((Z122-X122)*24,""),"")</f>
        <v/>
      </c>
      <c r="AC122" s="59" t="n"/>
      <c r="AD122" s="59" t="n"/>
      <c r="AE122" s="59" t="n"/>
      <c r="AF122" s="59" t="n"/>
      <c r="AG122" s="59" t="n"/>
      <c r="AH122" s="59" t="n"/>
      <c r="AI122" s="59" t="n"/>
      <c r="AJ122" s="61" t="n"/>
      <c r="AK122" s="61" t="n"/>
    </row>
    <row r="123" ht="18" customHeight="1">
      <c r="A123" s="54">
        <f>IF(E123&lt;&gt;"","MUD-"&amp;TEXT(ROW()-3,"000"),"")</f>
        <v/>
      </c>
      <c r="B123" s="67">
        <f>IF(E123&lt;&gt;"",TODAY(),"")</f>
        <v/>
      </c>
      <c r="C123" s="68" t="n"/>
      <c r="D123" s="69" t="n"/>
      <c r="E123" s="70" t="n"/>
      <c r="F123" s="70" t="n"/>
      <c r="G123" s="71" t="n"/>
      <c r="H123" s="70" t="n"/>
      <c r="I123" s="70" t="n"/>
      <c r="J123" s="72" t="n"/>
      <c r="K123" s="71" t="n"/>
      <c r="L123" s="73" t="n"/>
      <c r="M123" s="73" t="n"/>
      <c r="N123" s="74" t="n"/>
      <c r="O123" s="74" t="n"/>
      <c r="P123" s="63">
        <f>IF(N123&lt;&gt;"",N123-O123,"")</f>
        <v/>
      </c>
      <c r="Q123" s="71" t="n"/>
      <c r="R123" s="71" t="n"/>
      <c r="S123" s="71" t="n"/>
      <c r="T123" s="72" t="n"/>
      <c r="U123" s="64">
        <f>IF(E123&lt;&gt;"","MUD-"&amp;TEXT(ROW()-3,"000"),"")</f>
        <v/>
      </c>
      <c r="V123" s="73" t="n"/>
      <c r="W123" s="71" t="n"/>
      <c r="X123" s="69" t="n"/>
      <c r="Y123" s="69" t="n"/>
      <c r="Z123" s="69" t="n"/>
      <c r="AA123" s="75" t="n"/>
      <c r="AB123" s="66">
        <f>IF(AND(X123&lt;&gt;"",Z123&lt;&gt;""),IFERROR((Z123-X123)*24,""),"")</f>
        <v/>
      </c>
      <c r="AC123" s="71" t="n"/>
      <c r="AD123" s="71" t="n"/>
      <c r="AE123" s="71" t="n"/>
      <c r="AF123" s="71" t="n"/>
      <c r="AG123" s="71" t="n"/>
      <c r="AH123" s="71" t="n"/>
      <c r="AI123" s="71" t="n"/>
      <c r="AJ123" s="73" t="n"/>
      <c r="AK123" s="73" t="n"/>
    </row>
    <row r="124" ht="18" customHeight="1">
      <c r="A124" s="54">
        <f>IF(E124&lt;&gt;"","MUD-"&amp;TEXT(ROW()-3,"000"),"")</f>
        <v/>
      </c>
      <c r="B124" s="55">
        <f>IF(E124&lt;&gt;"",TODAY(),"")</f>
        <v/>
      </c>
      <c r="C124" s="56" t="n"/>
      <c r="D124" s="57" t="n"/>
      <c r="E124" s="58" t="n"/>
      <c r="F124" s="58" t="n"/>
      <c r="G124" s="59" t="n"/>
      <c r="H124" s="58" t="n"/>
      <c r="I124" s="58" t="n"/>
      <c r="J124" s="60" t="n"/>
      <c r="K124" s="59" t="n"/>
      <c r="L124" s="61" t="n"/>
      <c r="M124" s="61" t="n"/>
      <c r="N124" s="62" t="n"/>
      <c r="O124" s="62" t="n"/>
      <c r="P124" s="63">
        <f>IF(N124&lt;&gt;"",N124-O124,"")</f>
        <v/>
      </c>
      <c r="Q124" s="59" t="n"/>
      <c r="R124" s="59" t="n"/>
      <c r="S124" s="59" t="n"/>
      <c r="T124" s="60" t="n"/>
      <c r="U124" s="64">
        <f>IF(E124&lt;&gt;"","MUD-"&amp;TEXT(ROW()-3,"000"),"")</f>
        <v/>
      </c>
      <c r="V124" s="61" t="n"/>
      <c r="W124" s="59" t="n"/>
      <c r="X124" s="57" t="n"/>
      <c r="Y124" s="57" t="n"/>
      <c r="Z124" s="57" t="n"/>
      <c r="AA124" s="65" t="n"/>
      <c r="AB124" s="66">
        <f>IF(AND(X124&lt;&gt;"",Z124&lt;&gt;""),IFERROR((Z124-X124)*24,""),"")</f>
        <v/>
      </c>
      <c r="AC124" s="59" t="n"/>
      <c r="AD124" s="59" t="n"/>
      <c r="AE124" s="59" t="n"/>
      <c r="AF124" s="59" t="n"/>
      <c r="AG124" s="59" t="n"/>
      <c r="AH124" s="59" t="n"/>
      <c r="AI124" s="59" t="n"/>
      <c r="AJ124" s="61" t="n"/>
      <c r="AK124" s="61" t="n"/>
    </row>
    <row r="125" ht="18" customHeight="1">
      <c r="A125" s="54">
        <f>IF(E125&lt;&gt;"","MUD-"&amp;TEXT(ROW()-3,"000"),"")</f>
        <v/>
      </c>
      <c r="B125" s="67">
        <f>IF(E125&lt;&gt;"",TODAY(),"")</f>
        <v/>
      </c>
      <c r="C125" s="68" t="n"/>
      <c r="D125" s="69" t="n"/>
      <c r="E125" s="70" t="n"/>
      <c r="F125" s="70" t="n"/>
      <c r="G125" s="71" t="n"/>
      <c r="H125" s="70" t="n"/>
      <c r="I125" s="70" t="n"/>
      <c r="J125" s="72" t="n"/>
      <c r="K125" s="71" t="n"/>
      <c r="L125" s="73" t="n"/>
      <c r="M125" s="73" t="n"/>
      <c r="N125" s="74" t="n"/>
      <c r="O125" s="74" t="n"/>
      <c r="P125" s="63">
        <f>IF(N125&lt;&gt;"",N125-O125,"")</f>
        <v/>
      </c>
      <c r="Q125" s="71" t="n"/>
      <c r="R125" s="71" t="n"/>
      <c r="S125" s="71" t="n"/>
      <c r="T125" s="72" t="n"/>
      <c r="U125" s="64">
        <f>IF(E125&lt;&gt;"","MUD-"&amp;TEXT(ROW()-3,"000"),"")</f>
        <v/>
      </c>
      <c r="V125" s="73" t="n"/>
      <c r="W125" s="71" t="n"/>
      <c r="X125" s="69" t="n"/>
      <c r="Y125" s="69" t="n"/>
      <c r="Z125" s="69" t="n"/>
      <c r="AA125" s="75" t="n"/>
      <c r="AB125" s="66">
        <f>IF(AND(X125&lt;&gt;"",Z125&lt;&gt;""),IFERROR((Z125-X125)*24,""),"")</f>
        <v/>
      </c>
      <c r="AC125" s="71" t="n"/>
      <c r="AD125" s="71" t="n"/>
      <c r="AE125" s="71" t="n"/>
      <c r="AF125" s="71" t="n"/>
      <c r="AG125" s="71" t="n"/>
      <c r="AH125" s="71" t="n"/>
      <c r="AI125" s="71" t="n"/>
      <c r="AJ125" s="73" t="n"/>
      <c r="AK125" s="73" t="n"/>
    </row>
    <row r="126" ht="18" customHeight="1">
      <c r="A126" s="54">
        <f>IF(E126&lt;&gt;"","MUD-"&amp;TEXT(ROW()-3,"000"),"")</f>
        <v/>
      </c>
      <c r="B126" s="55">
        <f>IF(E126&lt;&gt;"",TODAY(),"")</f>
        <v/>
      </c>
      <c r="C126" s="56" t="n"/>
      <c r="D126" s="57" t="n"/>
      <c r="E126" s="58" t="n"/>
      <c r="F126" s="58" t="n"/>
      <c r="G126" s="59" t="n"/>
      <c r="H126" s="58" t="n"/>
      <c r="I126" s="58" t="n"/>
      <c r="J126" s="60" t="n"/>
      <c r="K126" s="59" t="n"/>
      <c r="L126" s="61" t="n"/>
      <c r="M126" s="61" t="n"/>
      <c r="N126" s="62" t="n"/>
      <c r="O126" s="62" t="n"/>
      <c r="P126" s="63">
        <f>IF(N126&lt;&gt;"",N126-O126,"")</f>
        <v/>
      </c>
      <c r="Q126" s="59" t="n"/>
      <c r="R126" s="59" t="n"/>
      <c r="S126" s="59" t="n"/>
      <c r="T126" s="60" t="n"/>
      <c r="U126" s="64">
        <f>IF(E126&lt;&gt;"","MUD-"&amp;TEXT(ROW()-3,"000"),"")</f>
        <v/>
      </c>
      <c r="V126" s="61" t="n"/>
      <c r="W126" s="59" t="n"/>
      <c r="X126" s="57" t="n"/>
      <c r="Y126" s="57" t="n"/>
      <c r="Z126" s="57" t="n"/>
      <c r="AA126" s="65" t="n"/>
      <c r="AB126" s="66">
        <f>IF(AND(X126&lt;&gt;"",Z126&lt;&gt;""),IFERROR((Z126-X126)*24,""),"")</f>
        <v/>
      </c>
      <c r="AC126" s="59" t="n"/>
      <c r="AD126" s="59" t="n"/>
      <c r="AE126" s="59" t="n"/>
      <c r="AF126" s="59" t="n"/>
      <c r="AG126" s="59" t="n"/>
      <c r="AH126" s="59" t="n"/>
      <c r="AI126" s="59" t="n"/>
      <c r="AJ126" s="61" t="n"/>
      <c r="AK126" s="61" t="n"/>
    </row>
    <row r="127" ht="18" customHeight="1">
      <c r="A127" s="54">
        <f>IF(E127&lt;&gt;"","MUD-"&amp;TEXT(ROW()-3,"000"),"")</f>
        <v/>
      </c>
      <c r="B127" s="67">
        <f>IF(E127&lt;&gt;"",TODAY(),"")</f>
        <v/>
      </c>
      <c r="C127" s="68" t="n"/>
      <c r="D127" s="69" t="n"/>
      <c r="E127" s="70" t="n"/>
      <c r="F127" s="70" t="n"/>
      <c r="G127" s="71" t="n"/>
      <c r="H127" s="70" t="n"/>
      <c r="I127" s="70" t="n"/>
      <c r="J127" s="72" t="n"/>
      <c r="K127" s="71" t="n"/>
      <c r="L127" s="73" t="n"/>
      <c r="M127" s="73" t="n"/>
      <c r="N127" s="74" t="n"/>
      <c r="O127" s="74" t="n"/>
      <c r="P127" s="63">
        <f>IF(N127&lt;&gt;"",N127-O127,"")</f>
        <v/>
      </c>
      <c r="Q127" s="71" t="n"/>
      <c r="R127" s="71" t="n"/>
      <c r="S127" s="71" t="n"/>
      <c r="T127" s="72" t="n"/>
      <c r="U127" s="64">
        <f>IF(E127&lt;&gt;"","MUD-"&amp;TEXT(ROW()-3,"000"),"")</f>
        <v/>
      </c>
      <c r="V127" s="73" t="n"/>
      <c r="W127" s="71" t="n"/>
      <c r="X127" s="69" t="n"/>
      <c r="Y127" s="69" t="n"/>
      <c r="Z127" s="69" t="n"/>
      <c r="AA127" s="75" t="n"/>
      <c r="AB127" s="66">
        <f>IF(AND(X127&lt;&gt;"",Z127&lt;&gt;""),IFERROR((Z127-X127)*24,""),"")</f>
        <v/>
      </c>
      <c r="AC127" s="71" t="n"/>
      <c r="AD127" s="71" t="n"/>
      <c r="AE127" s="71" t="n"/>
      <c r="AF127" s="71" t="n"/>
      <c r="AG127" s="71" t="n"/>
      <c r="AH127" s="71" t="n"/>
      <c r="AI127" s="71" t="n"/>
      <c r="AJ127" s="73" t="n"/>
      <c r="AK127" s="73" t="n"/>
    </row>
    <row r="128" ht="18" customHeight="1">
      <c r="A128" s="54">
        <f>IF(E128&lt;&gt;"","MUD-"&amp;TEXT(ROW()-3,"000"),"")</f>
        <v/>
      </c>
      <c r="B128" s="55">
        <f>IF(E128&lt;&gt;"",TODAY(),"")</f>
        <v/>
      </c>
      <c r="C128" s="56" t="n"/>
      <c r="D128" s="57" t="n"/>
      <c r="E128" s="58" t="n"/>
      <c r="F128" s="58" t="n"/>
      <c r="G128" s="59" t="n"/>
      <c r="H128" s="58" t="n"/>
      <c r="I128" s="58" t="n"/>
      <c r="J128" s="60" t="n"/>
      <c r="K128" s="59" t="n"/>
      <c r="L128" s="61" t="n"/>
      <c r="M128" s="61" t="n"/>
      <c r="N128" s="62" t="n"/>
      <c r="O128" s="62" t="n"/>
      <c r="P128" s="63">
        <f>IF(N128&lt;&gt;"",N128-O128,"")</f>
        <v/>
      </c>
      <c r="Q128" s="59" t="n"/>
      <c r="R128" s="59" t="n"/>
      <c r="S128" s="59" t="n"/>
      <c r="T128" s="60" t="n"/>
      <c r="U128" s="64">
        <f>IF(E128&lt;&gt;"","MUD-"&amp;TEXT(ROW()-3,"000"),"")</f>
        <v/>
      </c>
      <c r="V128" s="61" t="n"/>
      <c r="W128" s="59" t="n"/>
      <c r="X128" s="57" t="n"/>
      <c r="Y128" s="57" t="n"/>
      <c r="Z128" s="57" t="n"/>
      <c r="AA128" s="65" t="n"/>
      <c r="AB128" s="66">
        <f>IF(AND(X128&lt;&gt;"",Z128&lt;&gt;""),IFERROR((Z128-X128)*24,""),"")</f>
        <v/>
      </c>
      <c r="AC128" s="59" t="n"/>
      <c r="AD128" s="59" t="n"/>
      <c r="AE128" s="59" t="n"/>
      <c r="AF128" s="59" t="n"/>
      <c r="AG128" s="59" t="n"/>
      <c r="AH128" s="59" t="n"/>
      <c r="AI128" s="59" t="n"/>
      <c r="AJ128" s="61" t="n"/>
      <c r="AK128" s="61" t="n"/>
    </row>
    <row r="129" ht="18" customHeight="1">
      <c r="A129" s="54">
        <f>IF(E129&lt;&gt;"","MUD-"&amp;TEXT(ROW()-3,"000"),"")</f>
        <v/>
      </c>
      <c r="B129" s="67">
        <f>IF(E129&lt;&gt;"",TODAY(),"")</f>
        <v/>
      </c>
      <c r="C129" s="68" t="n"/>
      <c r="D129" s="69" t="n"/>
      <c r="E129" s="70" t="n"/>
      <c r="F129" s="70" t="n"/>
      <c r="G129" s="71" t="n"/>
      <c r="H129" s="70" t="n"/>
      <c r="I129" s="70" t="n"/>
      <c r="J129" s="72" t="n"/>
      <c r="K129" s="71" t="n"/>
      <c r="L129" s="73" t="n"/>
      <c r="M129" s="73" t="n"/>
      <c r="N129" s="74" t="n"/>
      <c r="O129" s="74" t="n"/>
      <c r="P129" s="63">
        <f>IF(N129&lt;&gt;"",N129-O129,"")</f>
        <v/>
      </c>
      <c r="Q129" s="71" t="n"/>
      <c r="R129" s="71" t="n"/>
      <c r="S129" s="71" t="n"/>
      <c r="T129" s="72" t="n"/>
      <c r="U129" s="64">
        <f>IF(E129&lt;&gt;"","MUD-"&amp;TEXT(ROW()-3,"000"),"")</f>
        <v/>
      </c>
      <c r="V129" s="73" t="n"/>
      <c r="W129" s="71" t="n"/>
      <c r="X129" s="69" t="n"/>
      <c r="Y129" s="69" t="n"/>
      <c r="Z129" s="69" t="n"/>
      <c r="AA129" s="75" t="n"/>
      <c r="AB129" s="66">
        <f>IF(AND(X129&lt;&gt;"",Z129&lt;&gt;""),IFERROR((Z129-X129)*24,""),"")</f>
        <v/>
      </c>
      <c r="AC129" s="71" t="n"/>
      <c r="AD129" s="71" t="n"/>
      <c r="AE129" s="71" t="n"/>
      <c r="AF129" s="71" t="n"/>
      <c r="AG129" s="71" t="n"/>
      <c r="AH129" s="71" t="n"/>
      <c r="AI129" s="71" t="n"/>
      <c r="AJ129" s="73" t="n"/>
      <c r="AK129" s="73" t="n"/>
    </row>
    <row r="130" ht="18" customHeight="1">
      <c r="A130" s="54">
        <f>IF(E130&lt;&gt;"","MUD-"&amp;TEXT(ROW()-3,"000"),"")</f>
        <v/>
      </c>
      <c r="B130" s="55">
        <f>IF(E130&lt;&gt;"",TODAY(),"")</f>
        <v/>
      </c>
      <c r="C130" s="56" t="n"/>
      <c r="D130" s="57" t="n"/>
      <c r="E130" s="58" t="n"/>
      <c r="F130" s="58" t="n"/>
      <c r="G130" s="59" t="n"/>
      <c r="H130" s="58" t="n"/>
      <c r="I130" s="58" t="n"/>
      <c r="J130" s="60" t="n"/>
      <c r="K130" s="59" t="n"/>
      <c r="L130" s="61" t="n"/>
      <c r="M130" s="61" t="n"/>
      <c r="N130" s="62" t="n"/>
      <c r="O130" s="62" t="n"/>
      <c r="P130" s="63">
        <f>IF(N130&lt;&gt;"",N130-O130,"")</f>
        <v/>
      </c>
      <c r="Q130" s="59" t="n"/>
      <c r="R130" s="59" t="n"/>
      <c r="S130" s="59" t="n"/>
      <c r="T130" s="60" t="n"/>
      <c r="U130" s="64">
        <f>IF(E130&lt;&gt;"","MUD-"&amp;TEXT(ROW()-3,"000"),"")</f>
        <v/>
      </c>
      <c r="V130" s="61" t="n"/>
      <c r="W130" s="59" t="n"/>
      <c r="X130" s="57" t="n"/>
      <c r="Y130" s="57" t="n"/>
      <c r="Z130" s="57" t="n"/>
      <c r="AA130" s="65" t="n"/>
      <c r="AB130" s="66">
        <f>IF(AND(X130&lt;&gt;"",Z130&lt;&gt;""),IFERROR((Z130-X130)*24,""),"")</f>
        <v/>
      </c>
      <c r="AC130" s="59" t="n"/>
      <c r="AD130" s="59" t="n"/>
      <c r="AE130" s="59" t="n"/>
      <c r="AF130" s="59" t="n"/>
      <c r="AG130" s="59" t="n"/>
      <c r="AH130" s="59" t="n"/>
      <c r="AI130" s="59" t="n"/>
      <c r="AJ130" s="61" t="n"/>
      <c r="AK130" s="61" t="n"/>
    </row>
    <row r="131" ht="18" customHeight="1">
      <c r="A131" s="54">
        <f>IF(E131&lt;&gt;"","MUD-"&amp;TEXT(ROW()-3,"000"),"")</f>
        <v/>
      </c>
      <c r="B131" s="67">
        <f>IF(E131&lt;&gt;"",TODAY(),"")</f>
        <v/>
      </c>
      <c r="C131" s="68" t="n"/>
      <c r="D131" s="69" t="n"/>
      <c r="E131" s="70" t="n"/>
      <c r="F131" s="70" t="n"/>
      <c r="G131" s="71" t="n"/>
      <c r="H131" s="70" t="n"/>
      <c r="I131" s="70" t="n"/>
      <c r="J131" s="72" t="n"/>
      <c r="K131" s="71" t="n"/>
      <c r="L131" s="73" t="n"/>
      <c r="M131" s="73" t="n"/>
      <c r="N131" s="74" t="n"/>
      <c r="O131" s="74" t="n"/>
      <c r="P131" s="63">
        <f>IF(N131&lt;&gt;"",N131-O131,"")</f>
        <v/>
      </c>
      <c r="Q131" s="71" t="n"/>
      <c r="R131" s="71" t="n"/>
      <c r="S131" s="71" t="n"/>
      <c r="T131" s="72" t="n"/>
      <c r="U131" s="64">
        <f>IF(E131&lt;&gt;"","MUD-"&amp;TEXT(ROW()-3,"000"),"")</f>
        <v/>
      </c>
      <c r="V131" s="73" t="n"/>
      <c r="W131" s="71" t="n"/>
      <c r="X131" s="69" t="n"/>
      <c r="Y131" s="69" t="n"/>
      <c r="Z131" s="69" t="n"/>
      <c r="AA131" s="75" t="n"/>
      <c r="AB131" s="66">
        <f>IF(AND(X131&lt;&gt;"",Z131&lt;&gt;""),IFERROR((Z131-X131)*24,""),"")</f>
        <v/>
      </c>
      <c r="AC131" s="71" t="n"/>
      <c r="AD131" s="71" t="n"/>
      <c r="AE131" s="71" t="n"/>
      <c r="AF131" s="71" t="n"/>
      <c r="AG131" s="71" t="n"/>
      <c r="AH131" s="71" t="n"/>
      <c r="AI131" s="71" t="n"/>
      <c r="AJ131" s="73" t="n"/>
      <c r="AK131" s="73" t="n"/>
    </row>
    <row r="132" ht="18" customHeight="1">
      <c r="A132" s="54">
        <f>IF(E132&lt;&gt;"","MUD-"&amp;TEXT(ROW()-3,"000"),"")</f>
        <v/>
      </c>
      <c r="B132" s="55">
        <f>IF(E132&lt;&gt;"",TODAY(),"")</f>
        <v/>
      </c>
      <c r="C132" s="56" t="n"/>
      <c r="D132" s="57" t="n"/>
      <c r="E132" s="58" t="n"/>
      <c r="F132" s="58" t="n"/>
      <c r="G132" s="59" t="n"/>
      <c r="H132" s="58" t="n"/>
      <c r="I132" s="58" t="n"/>
      <c r="J132" s="60" t="n"/>
      <c r="K132" s="59" t="n"/>
      <c r="L132" s="61" t="n"/>
      <c r="M132" s="61" t="n"/>
      <c r="N132" s="62" t="n"/>
      <c r="O132" s="62" t="n"/>
      <c r="P132" s="63">
        <f>IF(N132&lt;&gt;"",N132-O132,"")</f>
        <v/>
      </c>
      <c r="Q132" s="59" t="n"/>
      <c r="R132" s="59" t="n"/>
      <c r="S132" s="59" t="n"/>
      <c r="T132" s="60" t="n"/>
      <c r="U132" s="64">
        <f>IF(E132&lt;&gt;"","MUD-"&amp;TEXT(ROW()-3,"000"),"")</f>
        <v/>
      </c>
      <c r="V132" s="61" t="n"/>
      <c r="W132" s="59" t="n"/>
      <c r="X132" s="57" t="n"/>
      <c r="Y132" s="57" t="n"/>
      <c r="Z132" s="57" t="n"/>
      <c r="AA132" s="65" t="n"/>
      <c r="AB132" s="66">
        <f>IF(AND(X132&lt;&gt;"",Z132&lt;&gt;""),IFERROR((Z132-X132)*24,""),"")</f>
        <v/>
      </c>
      <c r="AC132" s="59" t="n"/>
      <c r="AD132" s="59" t="n"/>
      <c r="AE132" s="59" t="n"/>
      <c r="AF132" s="59" t="n"/>
      <c r="AG132" s="59" t="n"/>
      <c r="AH132" s="59" t="n"/>
      <c r="AI132" s="59" t="n"/>
      <c r="AJ132" s="61" t="n"/>
      <c r="AK132" s="61" t="n"/>
    </row>
    <row r="133" ht="18" customHeight="1">
      <c r="A133" s="54">
        <f>IF(E133&lt;&gt;"","MUD-"&amp;TEXT(ROW()-3,"000"),"")</f>
        <v/>
      </c>
      <c r="B133" s="67">
        <f>IF(E133&lt;&gt;"",TODAY(),"")</f>
        <v/>
      </c>
      <c r="C133" s="68" t="n"/>
      <c r="D133" s="69" t="n"/>
      <c r="E133" s="70" t="n"/>
      <c r="F133" s="70" t="n"/>
      <c r="G133" s="71" t="n"/>
      <c r="H133" s="70" t="n"/>
      <c r="I133" s="70" t="n"/>
      <c r="J133" s="72" t="n"/>
      <c r="K133" s="71" t="n"/>
      <c r="L133" s="73" t="n"/>
      <c r="M133" s="73" t="n"/>
      <c r="N133" s="74" t="n"/>
      <c r="O133" s="74" t="n"/>
      <c r="P133" s="63">
        <f>IF(N133&lt;&gt;"",N133-O133,"")</f>
        <v/>
      </c>
      <c r="Q133" s="71" t="n"/>
      <c r="R133" s="71" t="n"/>
      <c r="S133" s="71" t="n"/>
      <c r="T133" s="72" t="n"/>
      <c r="U133" s="64">
        <f>IF(E133&lt;&gt;"","MUD-"&amp;TEXT(ROW()-3,"000"),"")</f>
        <v/>
      </c>
      <c r="V133" s="73" t="n"/>
      <c r="W133" s="71" t="n"/>
      <c r="X133" s="69" t="n"/>
      <c r="Y133" s="69" t="n"/>
      <c r="Z133" s="69" t="n"/>
      <c r="AA133" s="75" t="n"/>
      <c r="AB133" s="66">
        <f>IF(AND(X133&lt;&gt;"",Z133&lt;&gt;""),IFERROR((Z133-X133)*24,""),"")</f>
        <v/>
      </c>
      <c r="AC133" s="71" t="n"/>
      <c r="AD133" s="71" t="n"/>
      <c r="AE133" s="71" t="n"/>
      <c r="AF133" s="71" t="n"/>
      <c r="AG133" s="71" t="n"/>
      <c r="AH133" s="71" t="n"/>
      <c r="AI133" s="71" t="n"/>
      <c r="AJ133" s="73" t="n"/>
      <c r="AK133" s="73" t="n"/>
    </row>
    <row r="134" ht="18" customHeight="1">
      <c r="A134" s="54">
        <f>IF(E134&lt;&gt;"","MUD-"&amp;TEXT(ROW()-3,"000"),"")</f>
        <v/>
      </c>
      <c r="B134" s="55">
        <f>IF(E134&lt;&gt;"",TODAY(),"")</f>
        <v/>
      </c>
      <c r="C134" s="56" t="n"/>
      <c r="D134" s="57" t="n"/>
      <c r="E134" s="58" t="n"/>
      <c r="F134" s="58" t="n"/>
      <c r="G134" s="59" t="n"/>
      <c r="H134" s="58" t="n"/>
      <c r="I134" s="58" t="n"/>
      <c r="J134" s="60" t="n"/>
      <c r="K134" s="59" t="n"/>
      <c r="L134" s="61" t="n"/>
      <c r="M134" s="61" t="n"/>
      <c r="N134" s="62" t="n"/>
      <c r="O134" s="62" t="n"/>
      <c r="P134" s="63">
        <f>IF(N134&lt;&gt;"",N134-O134,"")</f>
        <v/>
      </c>
      <c r="Q134" s="59" t="n"/>
      <c r="R134" s="59" t="n"/>
      <c r="S134" s="59" t="n"/>
      <c r="T134" s="60" t="n"/>
      <c r="U134" s="64">
        <f>IF(E134&lt;&gt;"","MUD-"&amp;TEXT(ROW()-3,"000"),"")</f>
        <v/>
      </c>
      <c r="V134" s="61" t="n"/>
      <c r="W134" s="59" t="n"/>
      <c r="X134" s="57" t="n"/>
      <c r="Y134" s="57" t="n"/>
      <c r="Z134" s="57" t="n"/>
      <c r="AA134" s="65" t="n"/>
      <c r="AB134" s="66">
        <f>IF(AND(X134&lt;&gt;"",Z134&lt;&gt;""),IFERROR((Z134-X134)*24,""),"")</f>
        <v/>
      </c>
      <c r="AC134" s="59" t="n"/>
      <c r="AD134" s="59" t="n"/>
      <c r="AE134" s="59" t="n"/>
      <c r="AF134" s="59" t="n"/>
      <c r="AG134" s="59" t="n"/>
      <c r="AH134" s="59" t="n"/>
      <c r="AI134" s="59" t="n"/>
      <c r="AJ134" s="61" t="n"/>
      <c r="AK134" s="61" t="n"/>
    </row>
    <row r="135" ht="18" customHeight="1">
      <c r="A135" s="54">
        <f>IF(E135&lt;&gt;"","MUD-"&amp;TEXT(ROW()-3,"000"),"")</f>
        <v/>
      </c>
      <c r="B135" s="67">
        <f>IF(E135&lt;&gt;"",TODAY(),"")</f>
        <v/>
      </c>
      <c r="C135" s="68" t="n"/>
      <c r="D135" s="69" t="n"/>
      <c r="E135" s="70" t="n"/>
      <c r="F135" s="70" t="n"/>
      <c r="G135" s="71" t="n"/>
      <c r="H135" s="70" t="n"/>
      <c r="I135" s="70" t="n"/>
      <c r="J135" s="72" t="n"/>
      <c r="K135" s="71" t="n"/>
      <c r="L135" s="73" t="n"/>
      <c r="M135" s="73" t="n"/>
      <c r="N135" s="74" t="n"/>
      <c r="O135" s="74" t="n"/>
      <c r="P135" s="63">
        <f>IF(N135&lt;&gt;"",N135-O135,"")</f>
        <v/>
      </c>
      <c r="Q135" s="71" t="n"/>
      <c r="R135" s="71" t="n"/>
      <c r="S135" s="71" t="n"/>
      <c r="T135" s="72" t="n"/>
      <c r="U135" s="64">
        <f>IF(E135&lt;&gt;"","MUD-"&amp;TEXT(ROW()-3,"000"),"")</f>
        <v/>
      </c>
      <c r="V135" s="73" t="n"/>
      <c r="W135" s="71" t="n"/>
      <c r="X135" s="69" t="n"/>
      <c r="Y135" s="69" t="n"/>
      <c r="Z135" s="69" t="n"/>
      <c r="AA135" s="75" t="n"/>
      <c r="AB135" s="66">
        <f>IF(AND(X135&lt;&gt;"",Z135&lt;&gt;""),IFERROR((Z135-X135)*24,""),"")</f>
        <v/>
      </c>
      <c r="AC135" s="71" t="n"/>
      <c r="AD135" s="71" t="n"/>
      <c r="AE135" s="71" t="n"/>
      <c r="AF135" s="71" t="n"/>
      <c r="AG135" s="71" t="n"/>
      <c r="AH135" s="71" t="n"/>
      <c r="AI135" s="71" t="n"/>
      <c r="AJ135" s="73" t="n"/>
      <c r="AK135" s="73" t="n"/>
    </row>
    <row r="136" ht="18" customHeight="1">
      <c r="A136" s="54">
        <f>IF(E136&lt;&gt;"","MUD-"&amp;TEXT(ROW()-3,"000"),"")</f>
        <v/>
      </c>
      <c r="B136" s="55">
        <f>IF(E136&lt;&gt;"",TODAY(),"")</f>
        <v/>
      </c>
      <c r="C136" s="56" t="n"/>
      <c r="D136" s="57" t="n"/>
      <c r="E136" s="58" t="n"/>
      <c r="F136" s="58" t="n"/>
      <c r="G136" s="59" t="n"/>
      <c r="H136" s="58" t="n"/>
      <c r="I136" s="58" t="n"/>
      <c r="J136" s="60" t="n"/>
      <c r="K136" s="59" t="n"/>
      <c r="L136" s="61" t="n"/>
      <c r="M136" s="61" t="n"/>
      <c r="N136" s="62" t="n"/>
      <c r="O136" s="62" t="n"/>
      <c r="P136" s="63">
        <f>IF(N136&lt;&gt;"",N136-O136,"")</f>
        <v/>
      </c>
      <c r="Q136" s="59" t="n"/>
      <c r="R136" s="59" t="n"/>
      <c r="S136" s="59" t="n"/>
      <c r="T136" s="60" t="n"/>
      <c r="U136" s="64">
        <f>IF(E136&lt;&gt;"","MUD-"&amp;TEXT(ROW()-3,"000"),"")</f>
        <v/>
      </c>
      <c r="V136" s="61" t="n"/>
      <c r="W136" s="59" t="n"/>
      <c r="X136" s="57" t="n"/>
      <c r="Y136" s="57" t="n"/>
      <c r="Z136" s="57" t="n"/>
      <c r="AA136" s="65" t="n"/>
      <c r="AB136" s="66">
        <f>IF(AND(X136&lt;&gt;"",Z136&lt;&gt;""),IFERROR((Z136-X136)*24,""),"")</f>
        <v/>
      </c>
      <c r="AC136" s="59" t="n"/>
      <c r="AD136" s="59" t="n"/>
      <c r="AE136" s="59" t="n"/>
      <c r="AF136" s="59" t="n"/>
      <c r="AG136" s="59" t="n"/>
      <c r="AH136" s="59" t="n"/>
      <c r="AI136" s="59" t="n"/>
      <c r="AJ136" s="61" t="n"/>
      <c r="AK136" s="61" t="n"/>
    </row>
    <row r="137" ht="18" customHeight="1">
      <c r="A137" s="54">
        <f>IF(E137&lt;&gt;"","MUD-"&amp;TEXT(ROW()-3,"000"),"")</f>
        <v/>
      </c>
      <c r="B137" s="67">
        <f>IF(E137&lt;&gt;"",TODAY(),"")</f>
        <v/>
      </c>
      <c r="C137" s="68" t="n"/>
      <c r="D137" s="69" t="n"/>
      <c r="E137" s="70" t="n"/>
      <c r="F137" s="70" t="n"/>
      <c r="G137" s="71" t="n"/>
      <c r="H137" s="70" t="n"/>
      <c r="I137" s="70" t="n"/>
      <c r="J137" s="72" t="n"/>
      <c r="K137" s="71" t="n"/>
      <c r="L137" s="73" t="n"/>
      <c r="M137" s="73" t="n"/>
      <c r="N137" s="74" t="n"/>
      <c r="O137" s="74" t="n"/>
      <c r="P137" s="63">
        <f>IF(N137&lt;&gt;"",N137-O137,"")</f>
        <v/>
      </c>
      <c r="Q137" s="71" t="n"/>
      <c r="R137" s="71" t="n"/>
      <c r="S137" s="71" t="n"/>
      <c r="T137" s="72" t="n"/>
      <c r="U137" s="64">
        <f>IF(E137&lt;&gt;"","MUD-"&amp;TEXT(ROW()-3,"000"),"")</f>
        <v/>
      </c>
      <c r="V137" s="73" t="n"/>
      <c r="W137" s="71" t="n"/>
      <c r="X137" s="69" t="n"/>
      <c r="Y137" s="69" t="n"/>
      <c r="Z137" s="69" t="n"/>
      <c r="AA137" s="75" t="n"/>
      <c r="AB137" s="66">
        <f>IF(AND(X137&lt;&gt;"",Z137&lt;&gt;""),IFERROR((Z137-X137)*24,""),"")</f>
        <v/>
      </c>
      <c r="AC137" s="71" t="n"/>
      <c r="AD137" s="71" t="n"/>
      <c r="AE137" s="71" t="n"/>
      <c r="AF137" s="71" t="n"/>
      <c r="AG137" s="71" t="n"/>
      <c r="AH137" s="71" t="n"/>
      <c r="AI137" s="71" t="n"/>
      <c r="AJ137" s="73" t="n"/>
      <c r="AK137" s="73" t="n"/>
    </row>
    <row r="138" ht="18" customHeight="1">
      <c r="A138" s="54">
        <f>IF(E138&lt;&gt;"","MUD-"&amp;TEXT(ROW()-3,"000"),"")</f>
        <v/>
      </c>
      <c r="B138" s="55">
        <f>IF(E138&lt;&gt;"",TODAY(),"")</f>
        <v/>
      </c>
      <c r="C138" s="56" t="n"/>
      <c r="D138" s="57" t="n"/>
      <c r="E138" s="58" t="n"/>
      <c r="F138" s="58" t="n"/>
      <c r="G138" s="59" t="n"/>
      <c r="H138" s="58" t="n"/>
      <c r="I138" s="58" t="n"/>
      <c r="J138" s="60" t="n"/>
      <c r="K138" s="59" t="n"/>
      <c r="L138" s="61" t="n"/>
      <c r="M138" s="61" t="n"/>
      <c r="N138" s="62" t="n"/>
      <c r="O138" s="62" t="n"/>
      <c r="P138" s="63">
        <f>IF(N138&lt;&gt;"",N138-O138,"")</f>
        <v/>
      </c>
      <c r="Q138" s="59" t="n"/>
      <c r="R138" s="59" t="n"/>
      <c r="S138" s="59" t="n"/>
      <c r="T138" s="60" t="n"/>
      <c r="U138" s="64">
        <f>IF(E138&lt;&gt;"","MUD-"&amp;TEXT(ROW()-3,"000"),"")</f>
        <v/>
      </c>
      <c r="V138" s="61" t="n"/>
      <c r="W138" s="59" t="n"/>
      <c r="X138" s="57" t="n"/>
      <c r="Y138" s="57" t="n"/>
      <c r="Z138" s="57" t="n"/>
      <c r="AA138" s="65" t="n"/>
      <c r="AB138" s="66">
        <f>IF(AND(X138&lt;&gt;"",Z138&lt;&gt;""),IFERROR((Z138-X138)*24,""),"")</f>
        <v/>
      </c>
      <c r="AC138" s="59" t="n"/>
      <c r="AD138" s="59" t="n"/>
      <c r="AE138" s="59" t="n"/>
      <c r="AF138" s="59" t="n"/>
      <c r="AG138" s="59" t="n"/>
      <c r="AH138" s="59" t="n"/>
      <c r="AI138" s="59" t="n"/>
      <c r="AJ138" s="61" t="n"/>
      <c r="AK138" s="61" t="n"/>
    </row>
    <row r="139" ht="18" customHeight="1">
      <c r="A139" s="54">
        <f>IF(E139&lt;&gt;"","MUD-"&amp;TEXT(ROW()-3,"000"),"")</f>
        <v/>
      </c>
      <c r="B139" s="67">
        <f>IF(E139&lt;&gt;"",TODAY(),"")</f>
        <v/>
      </c>
      <c r="C139" s="68" t="n"/>
      <c r="D139" s="69" t="n"/>
      <c r="E139" s="70" t="n"/>
      <c r="F139" s="70" t="n"/>
      <c r="G139" s="71" t="n"/>
      <c r="H139" s="70" t="n"/>
      <c r="I139" s="70" t="n"/>
      <c r="J139" s="72" t="n"/>
      <c r="K139" s="71" t="n"/>
      <c r="L139" s="73" t="n"/>
      <c r="M139" s="73" t="n"/>
      <c r="N139" s="74" t="n"/>
      <c r="O139" s="74" t="n"/>
      <c r="P139" s="63">
        <f>IF(N139&lt;&gt;"",N139-O139,"")</f>
        <v/>
      </c>
      <c r="Q139" s="71" t="n"/>
      <c r="R139" s="71" t="n"/>
      <c r="S139" s="71" t="n"/>
      <c r="T139" s="72" t="n"/>
      <c r="U139" s="64">
        <f>IF(E139&lt;&gt;"","MUD-"&amp;TEXT(ROW()-3,"000"),"")</f>
        <v/>
      </c>
      <c r="V139" s="73" t="n"/>
      <c r="W139" s="71" t="n"/>
      <c r="X139" s="69" t="n"/>
      <c r="Y139" s="69" t="n"/>
      <c r="Z139" s="69" t="n"/>
      <c r="AA139" s="75" t="n"/>
      <c r="AB139" s="66">
        <f>IF(AND(X139&lt;&gt;"",Z139&lt;&gt;""),IFERROR((Z139-X139)*24,""),"")</f>
        <v/>
      </c>
      <c r="AC139" s="71" t="n"/>
      <c r="AD139" s="71" t="n"/>
      <c r="AE139" s="71" t="n"/>
      <c r="AF139" s="71" t="n"/>
      <c r="AG139" s="71" t="n"/>
      <c r="AH139" s="71" t="n"/>
      <c r="AI139" s="71" t="n"/>
      <c r="AJ139" s="73" t="n"/>
      <c r="AK139" s="73" t="n"/>
    </row>
    <row r="140" ht="18" customHeight="1">
      <c r="A140" s="54">
        <f>IF(E140&lt;&gt;"","MUD-"&amp;TEXT(ROW()-3,"000"),"")</f>
        <v/>
      </c>
      <c r="B140" s="55">
        <f>IF(E140&lt;&gt;"",TODAY(),"")</f>
        <v/>
      </c>
      <c r="C140" s="56" t="n"/>
      <c r="D140" s="57" t="n"/>
      <c r="E140" s="58" t="n"/>
      <c r="F140" s="58" t="n"/>
      <c r="G140" s="59" t="n"/>
      <c r="H140" s="58" t="n"/>
      <c r="I140" s="58" t="n"/>
      <c r="J140" s="60" t="n"/>
      <c r="K140" s="59" t="n"/>
      <c r="L140" s="61" t="n"/>
      <c r="M140" s="61" t="n"/>
      <c r="N140" s="62" t="n"/>
      <c r="O140" s="62" t="n"/>
      <c r="P140" s="63">
        <f>IF(N140&lt;&gt;"",N140-O140,"")</f>
        <v/>
      </c>
      <c r="Q140" s="59" t="n"/>
      <c r="R140" s="59" t="n"/>
      <c r="S140" s="59" t="n"/>
      <c r="T140" s="60" t="n"/>
      <c r="U140" s="64">
        <f>IF(E140&lt;&gt;"","MUD-"&amp;TEXT(ROW()-3,"000"),"")</f>
        <v/>
      </c>
      <c r="V140" s="61" t="n"/>
      <c r="W140" s="59" t="n"/>
      <c r="X140" s="57" t="n"/>
      <c r="Y140" s="57" t="n"/>
      <c r="Z140" s="57" t="n"/>
      <c r="AA140" s="65" t="n"/>
      <c r="AB140" s="66">
        <f>IF(AND(X140&lt;&gt;"",Z140&lt;&gt;""),IFERROR((Z140-X140)*24,""),"")</f>
        <v/>
      </c>
      <c r="AC140" s="59" t="n"/>
      <c r="AD140" s="59" t="n"/>
      <c r="AE140" s="59" t="n"/>
      <c r="AF140" s="59" t="n"/>
      <c r="AG140" s="59" t="n"/>
      <c r="AH140" s="59" t="n"/>
      <c r="AI140" s="59" t="n"/>
      <c r="AJ140" s="61" t="n"/>
      <c r="AK140" s="61" t="n"/>
    </row>
    <row r="141" ht="18" customHeight="1">
      <c r="A141" s="54">
        <f>IF(E141&lt;&gt;"","MUD-"&amp;TEXT(ROW()-3,"000"),"")</f>
        <v/>
      </c>
      <c r="B141" s="67">
        <f>IF(E141&lt;&gt;"",TODAY(),"")</f>
        <v/>
      </c>
      <c r="C141" s="68" t="n"/>
      <c r="D141" s="69" t="n"/>
      <c r="E141" s="70" t="n"/>
      <c r="F141" s="70" t="n"/>
      <c r="G141" s="71" t="n"/>
      <c r="H141" s="70" t="n"/>
      <c r="I141" s="70" t="n"/>
      <c r="J141" s="72" t="n"/>
      <c r="K141" s="71" t="n"/>
      <c r="L141" s="73" t="n"/>
      <c r="M141" s="73" t="n"/>
      <c r="N141" s="74" t="n"/>
      <c r="O141" s="74" t="n"/>
      <c r="P141" s="63">
        <f>IF(N141&lt;&gt;"",N141-O141,"")</f>
        <v/>
      </c>
      <c r="Q141" s="71" t="n"/>
      <c r="R141" s="71" t="n"/>
      <c r="S141" s="71" t="n"/>
      <c r="T141" s="72" t="n"/>
      <c r="U141" s="64">
        <f>IF(E141&lt;&gt;"","MUD-"&amp;TEXT(ROW()-3,"000"),"")</f>
        <v/>
      </c>
      <c r="V141" s="73" t="n"/>
      <c r="W141" s="71" t="n"/>
      <c r="X141" s="69" t="n"/>
      <c r="Y141" s="69" t="n"/>
      <c r="Z141" s="69" t="n"/>
      <c r="AA141" s="75" t="n"/>
      <c r="AB141" s="66">
        <f>IF(AND(X141&lt;&gt;"",Z141&lt;&gt;""),IFERROR((Z141-X141)*24,""),"")</f>
        <v/>
      </c>
      <c r="AC141" s="71" t="n"/>
      <c r="AD141" s="71" t="n"/>
      <c r="AE141" s="71" t="n"/>
      <c r="AF141" s="71" t="n"/>
      <c r="AG141" s="71" t="n"/>
      <c r="AH141" s="71" t="n"/>
      <c r="AI141" s="71" t="n"/>
      <c r="AJ141" s="73" t="n"/>
      <c r="AK141" s="73" t="n"/>
    </row>
    <row r="142" ht="18" customHeight="1">
      <c r="A142" s="54">
        <f>IF(E142&lt;&gt;"","MUD-"&amp;TEXT(ROW()-3,"000"),"")</f>
        <v/>
      </c>
      <c r="B142" s="55">
        <f>IF(E142&lt;&gt;"",TODAY(),"")</f>
        <v/>
      </c>
      <c r="C142" s="56" t="n"/>
      <c r="D142" s="57" t="n"/>
      <c r="E142" s="58" t="n"/>
      <c r="F142" s="58" t="n"/>
      <c r="G142" s="59" t="n"/>
      <c r="H142" s="58" t="n"/>
      <c r="I142" s="58" t="n"/>
      <c r="J142" s="60" t="n"/>
      <c r="K142" s="59" t="n"/>
      <c r="L142" s="61" t="n"/>
      <c r="M142" s="61" t="n"/>
      <c r="N142" s="62" t="n"/>
      <c r="O142" s="62" t="n"/>
      <c r="P142" s="63">
        <f>IF(N142&lt;&gt;"",N142-O142,"")</f>
        <v/>
      </c>
      <c r="Q142" s="59" t="n"/>
      <c r="R142" s="59" t="n"/>
      <c r="S142" s="59" t="n"/>
      <c r="T142" s="60" t="n"/>
      <c r="U142" s="64">
        <f>IF(E142&lt;&gt;"","MUD-"&amp;TEXT(ROW()-3,"000"),"")</f>
        <v/>
      </c>
      <c r="V142" s="61" t="n"/>
      <c r="W142" s="59" t="n"/>
      <c r="X142" s="57" t="n"/>
      <c r="Y142" s="57" t="n"/>
      <c r="Z142" s="57" t="n"/>
      <c r="AA142" s="65" t="n"/>
      <c r="AB142" s="66">
        <f>IF(AND(X142&lt;&gt;"",Z142&lt;&gt;""),IFERROR((Z142-X142)*24,""),"")</f>
        <v/>
      </c>
      <c r="AC142" s="59" t="n"/>
      <c r="AD142" s="59" t="n"/>
      <c r="AE142" s="59" t="n"/>
      <c r="AF142" s="59" t="n"/>
      <c r="AG142" s="59" t="n"/>
      <c r="AH142" s="59" t="n"/>
      <c r="AI142" s="59" t="n"/>
      <c r="AJ142" s="61" t="n"/>
      <c r="AK142" s="61" t="n"/>
    </row>
    <row r="143" ht="18" customHeight="1">
      <c r="A143" s="54">
        <f>IF(E143&lt;&gt;"","MUD-"&amp;TEXT(ROW()-3,"000"),"")</f>
        <v/>
      </c>
      <c r="B143" s="67">
        <f>IF(E143&lt;&gt;"",TODAY(),"")</f>
        <v/>
      </c>
      <c r="C143" s="68" t="n"/>
      <c r="D143" s="69" t="n"/>
      <c r="E143" s="70" t="n"/>
      <c r="F143" s="70" t="n"/>
      <c r="G143" s="71" t="n"/>
      <c r="H143" s="70" t="n"/>
      <c r="I143" s="70" t="n"/>
      <c r="J143" s="72" t="n"/>
      <c r="K143" s="71" t="n"/>
      <c r="L143" s="73" t="n"/>
      <c r="M143" s="73" t="n"/>
      <c r="N143" s="74" t="n"/>
      <c r="O143" s="74" t="n"/>
      <c r="P143" s="63">
        <f>IF(N143&lt;&gt;"",N143-O143,"")</f>
        <v/>
      </c>
      <c r="Q143" s="71" t="n"/>
      <c r="R143" s="71" t="n"/>
      <c r="S143" s="71" t="n"/>
      <c r="T143" s="72" t="n"/>
      <c r="U143" s="64">
        <f>IF(E143&lt;&gt;"","MUD-"&amp;TEXT(ROW()-3,"000"),"")</f>
        <v/>
      </c>
      <c r="V143" s="73" t="n"/>
      <c r="W143" s="71" t="n"/>
      <c r="X143" s="69" t="n"/>
      <c r="Y143" s="69" t="n"/>
      <c r="Z143" s="69" t="n"/>
      <c r="AA143" s="75" t="n"/>
      <c r="AB143" s="66">
        <f>IF(AND(X143&lt;&gt;"",Z143&lt;&gt;""),IFERROR((Z143-X143)*24,""),"")</f>
        <v/>
      </c>
      <c r="AC143" s="71" t="n"/>
      <c r="AD143" s="71" t="n"/>
      <c r="AE143" s="71" t="n"/>
      <c r="AF143" s="71" t="n"/>
      <c r="AG143" s="71" t="n"/>
      <c r="AH143" s="71" t="n"/>
      <c r="AI143" s="71" t="n"/>
      <c r="AJ143" s="73" t="n"/>
      <c r="AK143" s="73" t="n"/>
    </row>
    <row r="144" ht="18" customHeight="1">
      <c r="A144" s="54">
        <f>IF(E144&lt;&gt;"","MUD-"&amp;TEXT(ROW()-3,"000"),"")</f>
        <v/>
      </c>
      <c r="B144" s="55">
        <f>IF(E144&lt;&gt;"",TODAY(),"")</f>
        <v/>
      </c>
      <c r="C144" s="56" t="n"/>
      <c r="D144" s="57" t="n"/>
      <c r="E144" s="58" t="n"/>
      <c r="F144" s="58" t="n"/>
      <c r="G144" s="59" t="n"/>
      <c r="H144" s="58" t="n"/>
      <c r="I144" s="58" t="n"/>
      <c r="J144" s="60" t="n"/>
      <c r="K144" s="59" t="n"/>
      <c r="L144" s="61" t="n"/>
      <c r="M144" s="61" t="n"/>
      <c r="N144" s="62" t="n"/>
      <c r="O144" s="62" t="n"/>
      <c r="P144" s="63">
        <f>IF(N144&lt;&gt;"",N144-O144,"")</f>
        <v/>
      </c>
      <c r="Q144" s="59" t="n"/>
      <c r="R144" s="59" t="n"/>
      <c r="S144" s="59" t="n"/>
      <c r="T144" s="60" t="n"/>
      <c r="U144" s="64">
        <f>IF(E144&lt;&gt;"","MUD-"&amp;TEXT(ROW()-3,"000"),"")</f>
        <v/>
      </c>
      <c r="V144" s="61" t="n"/>
      <c r="W144" s="59" t="n"/>
      <c r="X144" s="57" t="n"/>
      <c r="Y144" s="57" t="n"/>
      <c r="Z144" s="57" t="n"/>
      <c r="AA144" s="65" t="n"/>
      <c r="AB144" s="66">
        <f>IF(AND(X144&lt;&gt;"",Z144&lt;&gt;""),IFERROR((Z144-X144)*24,""),"")</f>
        <v/>
      </c>
      <c r="AC144" s="59" t="n"/>
      <c r="AD144" s="59" t="n"/>
      <c r="AE144" s="59" t="n"/>
      <c r="AF144" s="59" t="n"/>
      <c r="AG144" s="59" t="n"/>
      <c r="AH144" s="59" t="n"/>
      <c r="AI144" s="59" t="n"/>
      <c r="AJ144" s="61" t="n"/>
      <c r="AK144" s="61" t="n"/>
    </row>
    <row r="145" ht="18" customHeight="1">
      <c r="A145" s="54">
        <f>IF(E145&lt;&gt;"","MUD-"&amp;TEXT(ROW()-3,"000"),"")</f>
        <v/>
      </c>
      <c r="B145" s="67">
        <f>IF(E145&lt;&gt;"",TODAY(),"")</f>
        <v/>
      </c>
      <c r="C145" s="68" t="n"/>
      <c r="D145" s="69" t="n"/>
      <c r="E145" s="70" t="n"/>
      <c r="F145" s="70" t="n"/>
      <c r="G145" s="71" t="n"/>
      <c r="H145" s="70" t="n"/>
      <c r="I145" s="70" t="n"/>
      <c r="J145" s="72" t="n"/>
      <c r="K145" s="71" t="n"/>
      <c r="L145" s="73" t="n"/>
      <c r="M145" s="73" t="n"/>
      <c r="N145" s="74" t="n"/>
      <c r="O145" s="74" t="n"/>
      <c r="P145" s="63">
        <f>IF(N145&lt;&gt;"",N145-O145,"")</f>
        <v/>
      </c>
      <c r="Q145" s="71" t="n"/>
      <c r="R145" s="71" t="n"/>
      <c r="S145" s="71" t="n"/>
      <c r="T145" s="72" t="n"/>
      <c r="U145" s="64">
        <f>IF(E145&lt;&gt;"","MUD-"&amp;TEXT(ROW()-3,"000"),"")</f>
        <v/>
      </c>
      <c r="V145" s="73" t="n"/>
      <c r="W145" s="71" t="n"/>
      <c r="X145" s="69" t="n"/>
      <c r="Y145" s="69" t="n"/>
      <c r="Z145" s="69" t="n"/>
      <c r="AA145" s="75" t="n"/>
      <c r="AB145" s="66">
        <f>IF(AND(X145&lt;&gt;"",Z145&lt;&gt;""),IFERROR((Z145-X145)*24,""),"")</f>
        <v/>
      </c>
      <c r="AC145" s="71" t="n"/>
      <c r="AD145" s="71" t="n"/>
      <c r="AE145" s="71" t="n"/>
      <c r="AF145" s="71" t="n"/>
      <c r="AG145" s="71" t="n"/>
      <c r="AH145" s="71" t="n"/>
      <c r="AI145" s="71" t="n"/>
      <c r="AJ145" s="73" t="n"/>
      <c r="AK145" s="73" t="n"/>
    </row>
    <row r="146" ht="18" customHeight="1">
      <c r="A146" s="54">
        <f>IF(E146&lt;&gt;"","MUD-"&amp;TEXT(ROW()-3,"000"),"")</f>
        <v/>
      </c>
      <c r="B146" s="55">
        <f>IF(E146&lt;&gt;"",TODAY(),"")</f>
        <v/>
      </c>
      <c r="C146" s="56" t="n"/>
      <c r="D146" s="57" t="n"/>
      <c r="E146" s="58" t="n"/>
      <c r="F146" s="58" t="n"/>
      <c r="G146" s="59" t="n"/>
      <c r="H146" s="58" t="n"/>
      <c r="I146" s="58" t="n"/>
      <c r="J146" s="60" t="n"/>
      <c r="K146" s="59" t="n"/>
      <c r="L146" s="61" t="n"/>
      <c r="M146" s="61" t="n"/>
      <c r="N146" s="62" t="n"/>
      <c r="O146" s="62" t="n"/>
      <c r="P146" s="63">
        <f>IF(N146&lt;&gt;"",N146-O146,"")</f>
        <v/>
      </c>
      <c r="Q146" s="59" t="n"/>
      <c r="R146" s="59" t="n"/>
      <c r="S146" s="59" t="n"/>
      <c r="T146" s="60" t="n"/>
      <c r="U146" s="64">
        <f>IF(E146&lt;&gt;"","MUD-"&amp;TEXT(ROW()-3,"000"),"")</f>
        <v/>
      </c>
      <c r="V146" s="61" t="n"/>
      <c r="W146" s="59" t="n"/>
      <c r="X146" s="57" t="n"/>
      <c r="Y146" s="57" t="n"/>
      <c r="Z146" s="57" t="n"/>
      <c r="AA146" s="65" t="n"/>
      <c r="AB146" s="66">
        <f>IF(AND(X146&lt;&gt;"",Z146&lt;&gt;""),IFERROR((Z146-X146)*24,""),"")</f>
        <v/>
      </c>
      <c r="AC146" s="59" t="n"/>
      <c r="AD146" s="59" t="n"/>
      <c r="AE146" s="59" t="n"/>
      <c r="AF146" s="59" t="n"/>
      <c r="AG146" s="59" t="n"/>
      <c r="AH146" s="59" t="n"/>
      <c r="AI146" s="59" t="n"/>
      <c r="AJ146" s="61" t="n"/>
      <c r="AK146" s="61" t="n"/>
    </row>
    <row r="147" ht="18" customHeight="1">
      <c r="A147" s="54">
        <f>IF(E147&lt;&gt;"","MUD-"&amp;TEXT(ROW()-3,"000"),"")</f>
        <v/>
      </c>
      <c r="B147" s="67">
        <f>IF(E147&lt;&gt;"",TODAY(),"")</f>
        <v/>
      </c>
      <c r="C147" s="68" t="n"/>
      <c r="D147" s="69" t="n"/>
      <c r="E147" s="70" t="n"/>
      <c r="F147" s="70" t="n"/>
      <c r="G147" s="71" t="n"/>
      <c r="H147" s="70" t="n"/>
      <c r="I147" s="70" t="n"/>
      <c r="J147" s="72" t="n"/>
      <c r="K147" s="71" t="n"/>
      <c r="L147" s="73" t="n"/>
      <c r="M147" s="73" t="n"/>
      <c r="N147" s="74" t="n"/>
      <c r="O147" s="74" t="n"/>
      <c r="P147" s="63">
        <f>IF(N147&lt;&gt;"",N147-O147,"")</f>
        <v/>
      </c>
      <c r="Q147" s="71" t="n"/>
      <c r="R147" s="71" t="n"/>
      <c r="S147" s="71" t="n"/>
      <c r="T147" s="72" t="n"/>
      <c r="U147" s="64">
        <f>IF(E147&lt;&gt;"","MUD-"&amp;TEXT(ROW()-3,"000"),"")</f>
        <v/>
      </c>
      <c r="V147" s="73" t="n"/>
      <c r="W147" s="71" t="n"/>
      <c r="X147" s="69" t="n"/>
      <c r="Y147" s="69" t="n"/>
      <c r="Z147" s="69" t="n"/>
      <c r="AA147" s="75" t="n"/>
      <c r="AB147" s="66">
        <f>IF(AND(X147&lt;&gt;"",Z147&lt;&gt;""),IFERROR((Z147-X147)*24,""),"")</f>
        <v/>
      </c>
      <c r="AC147" s="71" t="n"/>
      <c r="AD147" s="71" t="n"/>
      <c r="AE147" s="71" t="n"/>
      <c r="AF147" s="71" t="n"/>
      <c r="AG147" s="71" t="n"/>
      <c r="AH147" s="71" t="n"/>
      <c r="AI147" s="71" t="n"/>
      <c r="AJ147" s="73" t="n"/>
      <c r="AK147" s="73" t="n"/>
    </row>
    <row r="148" ht="18" customHeight="1">
      <c r="A148" s="54">
        <f>IF(E148&lt;&gt;"","MUD-"&amp;TEXT(ROW()-3,"000"),"")</f>
        <v/>
      </c>
      <c r="B148" s="55">
        <f>IF(E148&lt;&gt;"",TODAY(),"")</f>
        <v/>
      </c>
      <c r="C148" s="56" t="n"/>
      <c r="D148" s="57" t="n"/>
      <c r="E148" s="58" t="n"/>
      <c r="F148" s="58" t="n"/>
      <c r="G148" s="59" t="n"/>
      <c r="H148" s="58" t="n"/>
      <c r="I148" s="58" t="n"/>
      <c r="J148" s="60" t="n"/>
      <c r="K148" s="59" t="n"/>
      <c r="L148" s="61" t="n"/>
      <c r="M148" s="61" t="n"/>
      <c r="N148" s="62" t="n"/>
      <c r="O148" s="62" t="n"/>
      <c r="P148" s="63">
        <f>IF(N148&lt;&gt;"",N148-O148,"")</f>
        <v/>
      </c>
      <c r="Q148" s="59" t="n"/>
      <c r="R148" s="59" t="n"/>
      <c r="S148" s="59" t="n"/>
      <c r="T148" s="60" t="n"/>
      <c r="U148" s="64">
        <f>IF(E148&lt;&gt;"","MUD-"&amp;TEXT(ROW()-3,"000"),"")</f>
        <v/>
      </c>
      <c r="V148" s="61" t="n"/>
      <c r="W148" s="59" t="n"/>
      <c r="X148" s="57" t="n"/>
      <c r="Y148" s="57" t="n"/>
      <c r="Z148" s="57" t="n"/>
      <c r="AA148" s="65" t="n"/>
      <c r="AB148" s="66">
        <f>IF(AND(X148&lt;&gt;"",Z148&lt;&gt;""),IFERROR((Z148-X148)*24,""),"")</f>
        <v/>
      </c>
      <c r="AC148" s="59" t="n"/>
      <c r="AD148" s="59" t="n"/>
      <c r="AE148" s="59" t="n"/>
      <c r="AF148" s="59" t="n"/>
      <c r="AG148" s="59" t="n"/>
      <c r="AH148" s="59" t="n"/>
      <c r="AI148" s="59" t="n"/>
      <c r="AJ148" s="61" t="n"/>
      <c r="AK148" s="61" t="n"/>
    </row>
    <row r="149" ht="18" customHeight="1">
      <c r="A149" s="54">
        <f>IF(E149&lt;&gt;"","MUD-"&amp;TEXT(ROW()-3,"000"),"")</f>
        <v/>
      </c>
      <c r="B149" s="67">
        <f>IF(E149&lt;&gt;"",TODAY(),"")</f>
        <v/>
      </c>
      <c r="C149" s="68" t="n"/>
      <c r="D149" s="69" t="n"/>
      <c r="E149" s="70" t="n"/>
      <c r="F149" s="70" t="n"/>
      <c r="G149" s="71" t="n"/>
      <c r="H149" s="70" t="n"/>
      <c r="I149" s="70" t="n"/>
      <c r="J149" s="72" t="n"/>
      <c r="K149" s="71" t="n"/>
      <c r="L149" s="73" t="n"/>
      <c r="M149" s="73" t="n"/>
      <c r="N149" s="74" t="n"/>
      <c r="O149" s="74" t="n"/>
      <c r="P149" s="63">
        <f>IF(N149&lt;&gt;"",N149-O149,"")</f>
        <v/>
      </c>
      <c r="Q149" s="71" t="n"/>
      <c r="R149" s="71" t="n"/>
      <c r="S149" s="71" t="n"/>
      <c r="T149" s="72" t="n"/>
      <c r="U149" s="64">
        <f>IF(E149&lt;&gt;"","MUD-"&amp;TEXT(ROW()-3,"000"),"")</f>
        <v/>
      </c>
      <c r="V149" s="73" t="n"/>
      <c r="W149" s="71" t="n"/>
      <c r="X149" s="69" t="n"/>
      <c r="Y149" s="69" t="n"/>
      <c r="Z149" s="69" t="n"/>
      <c r="AA149" s="75" t="n"/>
      <c r="AB149" s="66">
        <f>IF(AND(X149&lt;&gt;"",Z149&lt;&gt;""),IFERROR((Z149-X149)*24,""),"")</f>
        <v/>
      </c>
      <c r="AC149" s="71" t="n"/>
      <c r="AD149" s="71" t="n"/>
      <c r="AE149" s="71" t="n"/>
      <c r="AF149" s="71" t="n"/>
      <c r="AG149" s="71" t="n"/>
      <c r="AH149" s="71" t="n"/>
      <c r="AI149" s="71" t="n"/>
      <c r="AJ149" s="73" t="n"/>
      <c r="AK149" s="73" t="n"/>
    </row>
    <row r="150" ht="18" customHeight="1">
      <c r="A150" s="54">
        <f>IF(E150&lt;&gt;"","MUD-"&amp;TEXT(ROW()-3,"000"),"")</f>
        <v/>
      </c>
      <c r="B150" s="55">
        <f>IF(E150&lt;&gt;"",TODAY(),"")</f>
        <v/>
      </c>
      <c r="C150" s="56" t="n"/>
      <c r="D150" s="57" t="n"/>
      <c r="E150" s="58" t="n"/>
      <c r="F150" s="58" t="n"/>
      <c r="G150" s="59" t="n"/>
      <c r="H150" s="58" t="n"/>
      <c r="I150" s="58" t="n"/>
      <c r="J150" s="60" t="n"/>
      <c r="K150" s="59" t="n"/>
      <c r="L150" s="61" t="n"/>
      <c r="M150" s="61" t="n"/>
      <c r="N150" s="62" t="n"/>
      <c r="O150" s="62" t="n"/>
      <c r="P150" s="63">
        <f>IF(N150&lt;&gt;"",N150-O150,"")</f>
        <v/>
      </c>
      <c r="Q150" s="59" t="n"/>
      <c r="R150" s="59" t="n"/>
      <c r="S150" s="59" t="n"/>
      <c r="T150" s="60" t="n"/>
      <c r="U150" s="64">
        <f>IF(E150&lt;&gt;"","MUD-"&amp;TEXT(ROW()-3,"000"),"")</f>
        <v/>
      </c>
      <c r="V150" s="61" t="n"/>
      <c r="W150" s="59" t="n"/>
      <c r="X150" s="57" t="n"/>
      <c r="Y150" s="57" t="n"/>
      <c r="Z150" s="57" t="n"/>
      <c r="AA150" s="65" t="n"/>
      <c r="AB150" s="66">
        <f>IF(AND(X150&lt;&gt;"",Z150&lt;&gt;""),IFERROR((Z150-X150)*24,""),"")</f>
        <v/>
      </c>
      <c r="AC150" s="59" t="n"/>
      <c r="AD150" s="59" t="n"/>
      <c r="AE150" s="59" t="n"/>
      <c r="AF150" s="59" t="n"/>
      <c r="AG150" s="59" t="n"/>
      <c r="AH150" s="59" t="n"/>
      <c r="AI150" s="59" t="n"/>
      <c r="AJ150" s="61" t="n"/>
      <c r="AK150" s="61" t="n"/>
    </row>
    <row r="151" ht="18" customHeight="1">
      <c r="A151" s="54">
        <f>IF(E151&lt;&gt;"","MUD-"&amp;TEXT(ROW()-3,"000"),"")</f>
        <v/>
      </c>
      <c r="B151" s="67">
        <f>IF(E151&lt;&gt;"",TODAY(),"")</f>
        <v/>
      </c>
      <c r="C151" s="68" t="n"/>
      <c r="D151" s="69" t="n"/>
      <c r="E151" s="70" t="n"/>
      <c r="F151" s="70" t="n"/>
      <c r="G151" s="71" t="n"/>
      <c r="H151" s="70" t="n"/>
      <c r="I151" s="70" t="n"/>
      <c r="J151" s="72" t="n"/>
      <c r="K151" s="71" t="n"/>
      <c r="L151" s="73" t="n"/>
      <c r="M151" s="73" t="n"/>
      <c r="N151" s="74" t="n"/>
      <c r="O151" s="74" t="n"/>
      <c r="P151" s="63">
        <f>IF(N151&lt;&gt;"",N151-O151,"")</f>
        <v/>
      </c>
      <c r="Q151" s="71" t="n"/>
      <c r="R151" s="71" t="n"/>
      <c r="S151" s="71" t="n"/>
      <c r="T151" s="72" t="n"/>
      <c r="U151" s="64">
        <f>IF(E151&lt;&gt;"","MUD-"&amp;TEXT(ROW()-3,"000"),"")</f>
        <v/>
      </c>
      <c r="V151" s="73" t="n"/>
      <c r="W151" s="71" t="n"/>
      <c r="X151" s="69" t="n"/>
      <c r="Y151" s="69" t="n"/>
      <c r="Z151" s="69" t="n"/>
      <c r="AA151" s="75" t="n"/>
      <c r="AB151" s="66">
        <f>IF(AND(X151&lt;&gt;"",Z151&lt;&gt;""),IFERROR((Z151-X151)*24,""),"")</f>
        <v/>
      </c>
      <c r="AC151" s="71" t="n"/>
      <c r="AD151" s="71" t="n"/>
      <c r="AE151" s="71" t="n"/>
      <c r="AF151" s="71" t="n"/>
      <c r="AG151" s="71" t="n"/>
      <c r="AH151" s="71" t="n"/>
      <c r="AI151" s="71" t="n"/>
      <c r="AJ151" s="73" t="n"/>
      <c r="AK151" s="73" t="n"/>
    </row>
    <row r="152" ht="18" customHeight="1">
      <c r="A152" s="54">
        <f>IF(E152&lt;&gt;"","MUD-"&amp;TEXT(ROW()-3,"000"),"")</f>
        <v/>
      </c>
      <c r="B152" s="55">
        <f>IF(E152&lt;&gt;"",TODAY(),"")</f>
        <v/>
      </c>
      <c r="C152" s="56" t="n"/>
      <c r="D152" s="57" t="n"/>
      <c r="E152" s="58" t="n"/>
      <c r="F152" s="58" t="n"/>
      <c r="G152" s="59" t="n"/>
      <c r="H152" s="58" t="n"/>
      <c r="I152" s="58" t="n"/>
      <c r="J152" s="60" t="n"/>
      <c r="K152" s="59" t="n"/>
      <c r="L152" s="61" t="n"/>
      <c r="M152" s="61" t="n"/>
      <c r="N152" s="62" t="n"/>
      <c r="O152" s="62" t="n"/>
      <c r="P152" s="63">
        <f>IF(N152&lt;&gt;"",N152-O152,"")</f>
        <v/>
      </c>
      <c r="Q152" s="59" t="n"/>
      <c r="R152" s="59" t="n"/>
      <c r="S152" s="59" t="n"/>
      <c r="T152" s="60" t="n"/>
      <c r="U152" s="64">
        <f>IF(E152&lt;&gt;"","MUD-"&amp;TEXT(ROW()-3,"000"),"")</f>
        <v/>
      </c>
      <c r="V152" s="61" t="n"/>
      <c r="W152" s="59" t="n"/>
      <c r="X152" s="57" t="n"/>
      <c r="Y152" s="57" t="n"/>
      <c r="Z152" s="57" t="n"/>
      <c r="AA152" s="65" t="n"/>
      <c r="AB152" s="66">
        <f>IF(AND(X152&lt;&gt;"",Z152&lt;&gt;""),IFERROR((Z152-X152)*24,""),"")</f>
        <v/>
      </c>
      <c r="AC152" s="59" t="n"/>
      <c r="AD152" s="59" t="n"/>
      <c r="AE152" s="59" t="n"/>
      <c r="AF152" s="59" t="n"/>
      <c r="AG152" s="59" t="n"/>
      <c r="AH152" s="59" t="n"/>
      <c r="AI152" s="59" t="n"/>
      <c r="AJ152" s="61" t="n"/>
      <c r="AK152" s="61" t="n"/>
    </row>
    <row r="153" ht="18" customHeight="1">
      <c r="A153" s="54">
        <f>IF(E153&lt;&gt;"","MUD-"&amp;TEXT(ROW()-3,"000"),"")</f>
        <v/>
      </c>
      <c r="B153" s="67">
        <f>IF(E153&lt;&gt;"",TODAY(),"")</f>
        <v/>
      </c>
      <c r="C153" s="68" t="n"/>
      <c r="D153" s="69" t="n"/>
      <c r="E153" s="70" t="n"/>
      <c r="F153" s="70" t="n"/>
      <c r="G153" s="71" t="n"/>
      <c r="H153" s="70" t="n"/>
      <c r="I153" s="70" t="n"/>
      <c r="J153" s="72" t="n"/>
      <c r="K153" s="71" t="n"/>
      <c r="L153" s="73" t="n"/>
      <c r="M153" s="73" t="n"/>
      <c r="N153" s="74" t="n"/>
      <c r="O153" s="74" t="n"/>
      <c r="P153" s="63">
        <f>IF(N153&lt;&gt;"",N153-O153,"")</f>
        <v/>
      </c>
      <c r="Q153" s="71" t="n"/>
      <c r="R153" s="71" t="n"/>
      <c r="S153" s="71" t="n"/>
      <c r="T153" s="72" t="n"/>
      <c r="U153" s="64">
        <f>IF(E153&lt;&gt;"","MUD-"&amp;TEXT(ROW()-3,"000"),"")</f>
        <v/>
      </c>
      <c r="V153" s="73" t="n"/>
      <c r="W153" s="71" t="n"/>
      <c r="X153" s="69" t="n"/>
      <c r="Y153" s="69" t="n"/>
      <c r="Z153" s="69" t="n"/>
      <c r="AA153" s="75" t="n"/>
      <c r="AB153" s="66">
        <f>IF(AND(X153&lt;&gt;"",Z153&lt;&gt;""),IFERROR((Z153-X153)*24,""),"")</f>
        <v/>
      </c>
      <c r="AC153" s="71" t="n"/>
      <c r="AD153" s="71" t="n"/>
      <c r="AE153" s="71" t="n"/>
      <c r="AF153" s="71" t="n"/>
      <c r="AG153" s="71" t="n"/>
      <c r="AH153" s="71" t="n"/>
      <c r="AI153" s="71" t="n"/>
      <c r="AJ153" s="73" t="n"/>
      <c r="AK153" s="73" t="n"/>
    </row>
    <row r="154" ht="18" customHeight="1">
      <c r="A154" s="54">
        <f>IF(E154&lt;&gt;"","MUD-"&amp;TEXT(ROW()-3,"000"),"")</f>
        <v/>
      </c>
      <c r="B154" s="55">
        <f>IF(E154&lt;&gt;"",TODAY(),"")</f>
        <v/>
      </c>
      <c r="C154" s="56" t="n"/>
      <c r="D154" s="57" t="n"/>
      <c r="E154" s="58" t="n"/>
      <c r="F154" s="58" t="n"/>
      <c r="G154" s="59" t="n"/>
      <c r="H154" s="58" t="n"/>
      <c r="I154" s="58" t="n"/>
      <c r="J154" s="60" t="n"/>
      <c r="K154" s="59" t="n"/>
      <c r="L154" s="61" t="n"/>
      <c r="M154" s="61" t="n"/>
      <c r="N154" s="62" t="n"/>
      <c r="O154" s="62" t="n"/>
      <c r="P154" s="63">
        <f>IF(N154&lt;&gt;"",N154-O154,"")</f>
        <v/>
      </c>
      <c r="Q154" s="59" t="n"/>
      <c r="R154" s="59" t="n"/>
      <c r="S154" s="59" t="n"/>
      <c r="T154" s="60" t="n"/>
      <c r="U154" s="64">
        <f>IF(E154&lt;&gt;"","MUD-"&amp;TEXT(ROW()-3,"000"),"")</f>
        <v/>
      </c>
      <c r="V154" s="61" t="n"/>
      <c r="W154" s="59" t="n"/>
      <c r="X154" s="57" t="n"/>
      <c r="Y154" s="57" t="n"/>
      <c r="Z154" s="57" t="n"/>
      <c r="AA154" s="65" t="n"/>
      <c r="AB154" s="66">
        <f>IF(AND(X154&lt;&gt;"",Z154&lt;&gt;""),IFERROR((Z154-X154)*24,""),"")</f>
        <v/>
      </c>
      <c r="AC154" s="59" t="n"/>
      <c r="AD154" s="59" t="n"/>
      <c r="AE154" s="59" t="n"/>
      <c r="AF154" s="59" t="n"/>
      <c r="AG154" s="59" t="n"/>
      <c r="AH154" s="59" t="n"/>
      <c r="AI154" s="59" t="n"/>
      <c r="AJ154" s="61" t="n"/>
      <c r="AK154" s="61" t="n"/>
    </row>
    <row r="155" ht="18" customHeight="1">
      <c r="A155" s="54">
        <f>IF(E155&lt;&gt;"","MUD-"&amp;TEXT(ROW()-3,"000"),"")</f>
        <v/>
      </c>
      <c r="B155" s="67">
        <f>IF(E155&lt;&gt;"",TODAY(),"")</f>
        <v/>
      </c>
      <c r="C155" s="68" t="n"/>
      <c r="D155" s="69" t="n"/>
      <c r="E155" s="70" t="n"/>
      <c r="F155" s="70" t="n"/>
      <c r="G155" s="71" t="n"/>
      <c r="H155" s="70" t="n"/>
      <c r="I155" s="70" t="n"/>
      <c r="J155" s="72" t="n"/>
      <c r="K155" s="71" t="n"/>
      <c r="L155" s="73" t="n"/>
      <c r="M155" s="73" t="n"/>
      <c r="N155" s="74" t="n"/>
      <c r="O155" s="74" t="n"/>
      <c r="P155" s="63">
        <f>IF(N155&lt;&gt;"",N155-O155,"")</f>
        <v/>
      </c>
      <c r="Q155" s="71" t="n"/>
      <c r="R155" s="71" t="n"/>
      <c r="S155" s="71" t="n"/>
      <c r="T155" s="72" t="n"/>
      <c r="U155" s="64">
        <f>IF(E155&lt;&gt;"","MUD-"&amp;TEXT(ROW()-3,"000"),"")</f>
        <v/>
      </c>
      <c r="V155" s="73" t="n"/>
      <c r="W155" s="71" t="n"/>
      <c r="X155" s="69" t="n"/>
      <c r="Y155" s="69" t="n"/>
      <c r="Z155" s="69" t="n"/>
      <c r="AA155" s="75" t="n"/>
      <c r="AB155" s="66">
        <f>IF(AND(X155&lt;&gt;"",Z155&lt;&gt;""),IFERROR((Z155-X155)*24,""),"")</f>
        <v/>
      </c>
      <c r="AC155" s="71" t="n"/>
      <c r="AD155" s="71" t="n"/>
      <c r="AE155" s="71" t="n"/>
      <c r="AF155" s="71" t="n"/>
      <c r="AG155" s="71" t="n"/>
      <c r="AH155" s="71" t="n"/>
      <c r="AI155" s="71" t="n"/>
      <c r="AJ155" s="73" t="n"/>
      <c r="AK155" s="73" t="n"/>
    </row>
    <row r="156" ht="18" customHeight="1">
      <c r="A156" s="54">
        <f>IF(E156&lt;&gt;"","MUD-"&amp;TEXT(ROW()-3,"000"),"")</f>
        <v/>
      </c>
      <c r="B156" s="55">
        <f>IF(E156&lt;&gt;"",TODAY(),"")</f>
        <v/>
      </c>
      <c r="C156" s="56" t="n"/>
      <c r="D156" s="57" t="n"/>
      <c r="E156" s="58" t="n"/>
      <c r="F156" s="58" t="n"/>
      <c r="G156" s="59" t="n"/>
      <c r="H156" s="58" t="n"/>
      <c r="I156" s="58" t="n"/>
      <c r="J156" s="60" t="n"/>
      <c r="K156" s="59" t="n"/>
      <c r="L156" s="61" t="n"/>
      <c r="M156" s="61" t="n"/>
      <c r="N156" s="62" t="n"/>
      <c r="O156" s="62" t="n"/>
      <c r="P156" s="63">
        <f>IF(N156&lt;&gt;"",N156-O156,"")</f>
        <v/>
      </c>
      <c r="Q156" s="59" t="n"/>
      <c r="R156" s="59" t="n"/>
      <c r="S156" s="59" t="n"/>
      <c r="T156" s="60" t="n"/>
      <c r="U156" s="64">
        <f>IF(E156&lt;&gt;"","MUD-"&amp;TEXT(ROW()-3,"000"),"")</f>
        <v/>
      </c>
      <c r="V156" s="61" t="n"/>
      <c r="W156" s="59" t="n"/>
      <c r="X156" s="57" t="n"/>
      <c r="Y156" s="57" t="n"/>
      <c r="Z156" s="57" t="n"/>
      <c r="AA156" s="65" t="n"/>
      <c r="AB156" s="66">
        <f>IF(AND(X156&lt;&gt;"",Z156&lt;&gt;""),IFERROR((Z156-X156)*24,""),"")</f>
        <v/>
      </c>
      <c r="AC156" s="59" t="n"/>
      <c r="AD156" s="59" t="n"/>
      <c r="AE156" s="59" t="n"/>
      <c r="AF156" s="59" t="n"/>
      <c r="AG156" s="59" t="n"/>
      <c r="AH156" s="59" t="n"/>
      <c r="AI156" s="59" t="n"/>
      <c r="AJ156" s="61" t="n"/>
      <c r="AK156" s="61" t="n"/>
    </row>
    <row r="157" ht="18" customHeight="1">
      <c r="A157" s="54">
        <f>IF(E157&lt;&gt;"","MUD-"&amp;TEXT(ROW()-3,"000"),"")</f>
        <v/>
      </c>
      <c r="B157" s="67">
        <f>IF(E157&lt;&gt;"",TODAY(),"")</f>
        <v/>
      </c>
      <c r="C157" s="68" t="n"/>
      <c r="D157" s="69" t="n"/>
      <c r="E157" s="70" t="n"/>
      <c r="F157" s="70" t="n"/>
      <c r="G157" s="71" t="n"/>
      <c r="H157" s="70" t="n"/>
      <c r="I157" s="70" t="n"/>
      <c r="J157" s="72" t="n"/>
      <c r="K157" s="71" t="n"/>
      <c r="L157" s="73" t="n"/>
      <c r="M157" s="73" t="n"/>
      <c r="N157" s="74" t="n"/>
      <c r="O157" s="74" t="n"/>
      <c r="P157" s="63">
        <f>IF(N157&lt;&gt;"",N157-O157,"")</f>
        <v/>
      </c>
      <c r="Q157" s="71" t="n"/>
      <c r="R157" s="71" t="n"/>
      <c r="S157" s="71" t="n"/>
      <c r="T157" s="72" t="n"/>
      <c r="U157" s="64">
        <f>IF(E157&lt;&gt;"","MUD-"&amp;TEXT(ROW()-3,"000"),"")</f>
        <v/>
      </c>
      <c r="V157" s="73" t="n"/>
      <c r="W157" s="71" t="n"/>
      <c r="X157" s="69" t="n"/>
      <c r="Y157" s="69" t="n"/>
      <c r="Z157" s="69" t="n"/>
      <c r="AA157" s="75" t="n"/>
      <c r="AB157" s="66">
        <f>IF(AND(X157&lt;&gt;"",Z157&lt;&gt;""),IFERROR((Z157-X157)*24,""),"")</f>
        <v/>
      </c>
      <c r="AC157" s="71" t="n"/>
      <c r="AD157" s="71" t="n"/>
      <c r="AE157" s="71" t="n"/>
      <c r="AF157" s="71" t="n"/>
      <c r="AG157" s="71" t="n"/>
      <c r="AH157" s="71" t="n"/>
      <c r="AI157" s="71" t="n"/>
      <c r="AJ157" s="73" t="n"/>
      <c r="AK157" s="73" t="n"/>
    </row>
    <row r="158" ht="18" customHeight="1">
      <c r="A158" s="54">
        <f>IF(E158&lt;&gt;"","MUD-"&amp;TEXT(ROW()-3,"000"),"")</f>
        <v/>
      </c>
      <c r="B158" s="55">
        <f>IF(E158&lt;&gt;"",TODAY(),"")</f>
        <v/>
      </c>
      <c r="C158" s="56" t="n"/>
      <c r="D158" s="57" t="n"/>
      <c r="E158" s="58" t="n"/>
      <c r="F158" s="58" t="n"/>
      <c r="G158" s="59" t="n"/>
      <c r="H158" s="58" t="n"/>
      <c r="I158" s="58" t="n"/>
      <c r="J158" s="60" t="n"/>
      <c r="K158" s="59" t="n"/>
      <c r="L158" s="61" t="n"/>
      <c r="M158" s="61" t="n"/>
      <c r="N158" s="62" t="n"/>
      <c r="O158" s="62" t="n"/>
      <c r="P158" s="63">
        <f>IF(N158&lt;&gt;"",N158-O158,"")</f>
        <v/>
      </c>
      <c r="Q158" s="59" t="n"/>
      <c r="R158" s="59" t="n"/>
      <c r="S158" s="59" t="n"/>
      <c r="T158" s="60" t="n"/>
      <c r="U158" s="64">
        <f>IF(E158&lt;&gt;"","MUD-"&amp;TEXT(ROW()-3,"000"),"")</f>
        <v/>
      </c>
      <c r="V158" s="61" t="n"/>
      <c r="W158" s="59" t="n"/>
      <c r="X158" s="57" t="n"/>
      <c r="Y158" s="57" t="n"/>
      <c r="Z158" s="57" t="n"/>
      <c r="AA158" s="65" t="n"/>
      <c r="AB158" s="66">
        <f>IF(AND(X158&lt;&gt;"",Z158&lt;&gt;""),IFERROR((Z158-X158)*24,""),"")</f>
        <v/>
      </c>
      <c r="AC158" s="59" t="n"/>
      <c r="AD158" s="59" t="n"/>
      <c r="AE158" s="59" t="n"/>
      <c r="AF158" s="59" t="n"/>
      <c r="AG158" s="59" t="n"/>
      <c r="AH158" s="59" t="n"/>
      <c r="AI158" s="59" t="n"/>
      <c r="AJ158" s="61" t="n"/>
      <c r="AK158" s="61" t="n"/>
    </row>
    <row r="159" ht="18" customHeight="1">
      <c r="A159" s="54">
        <f>IF(E159&lt;&gt;"","MUD-"&amp;TEXT(ROW()-3,"000"),"")</f>
        <v/>
      </c>
      <c r="B159" s="67">
        <f>IF(E159&lt;&gt;"",TODAY(),"")</f>
        <v/>
      </c>
      <c r="C159" s="68" t="n"/>
      <c r="D159" s="69" t="n"/>
      <c r="E159" s="70" t="n"/>
      <c r="F159" s="70" t="n"/>
      <c r="G159" s="71" t="n"/>
      <c r="H159" s="70" t="n"/>
      <c r="I159" s="70" t="n"/>
      <c r="J159" s="72" t="n"/>
      <c r="K159" s="71" t="n"/>
      <c r="L159" s="73" t="n"/>
      <c r="M159" s="73" t="n"/>
      <c r="N159" s="74" t="n"/>
      <c r="O159" s="74" t="n"/>
      <c r="P159" s="63">
        <f>IF(N159&lt;&gt;"",N159-O159,"")</f>
        <v/>
      </c>
      <c r="Q159" s="71" t="n"/>
      <c r="R159" s="71" t="n"/>
      <c r="S159" s="71" t="n"/>
      <c r="T159" s="72" t="n"/>
      <c r="U159" s="64">
        <f>IF(E159&lt;&gt;"","MUD-"&amp;TEXT(ROW()-3,"000"),"")</f>
        <v/>
      </c>
      <c r="V159" s="73" t="n"/>
      <c r="W159" s="71" t="n"/>
      <c r="X159" s="69" t="n"/>
      <c r="Y159" s="69" t="n"/>
      <c r="Z159" s="69" t="n"/>
      <c r="AA159" s="75" t="n"/>
      <c r="AB159" s="66">
        <f>IF(AND(X159&lt;&gt;"",Z159&lt;&gt;""),IFERROR((Z159-X159)*24,""),"")</f>
        <v/>
      </c>
      <c r="AC159" s="71" t="n"/>
      <c r="AD159" s="71" t="n"/>
      <c r="AE159" s="71" t="n"/>
      <c r="AF159" s="71" t="n"/>
      <c r="AG159" s="71" t="n"/>
      <c r="AH159" s="71" t="n"/>
      <c r="AI159" s="71" t="n"/>
      <c r="AJ159" s="73" t="n"/>
      <c r="AK159" s="73" t="n"/>
    </row>
    <row r="160" ht="18" customHeight="1">
      <c r="A160" s="54">
        <f>IF(E160&lt;&gt;"","MUD-"&amp;TEXT(ROW()-3,"000"),"")</f>
        <v/>
      </c>
      <c r="B160" s="55">
        <f>IF(E160&lt;&gt;"",TODAY(),"")</f>
        <v/>
      </c>
      <c r="C160" s="56" t="n"/>
      <c r="D160" s="57" t="n"/>
      <c r="E160" s="58" t="n"/>
      <c r="F160" s="58" t="n"/>
      <c r="G160" s="59" t="n"/>
      <c r="H160" s="58" t="n"/>
      <c r="I160" s="58" t="n"/>
      <c r="J160" s="60" t="n"/>
      <c r="K160" s="59" t="n"/>
      <c r="L160" s="61" t="n"/>
      <c r="M160" s="61" t="n"/>
      <c r="N160" s="62" t="n"/>
      <c r="O160" s="62" t="n"/>
      <c r="P160" s="63">
        <f>IF(N160&lt;&gt;"",N160-O160,"")</f>
        <v/>
      </c>
      <c r="Q160" s="59" t="n"/>
      <c r="R160" s="59" t="n"/>
      <c r="S160" s="59" t="n"/>
      <c r="T160" s="60" t="n"/>
      <c r="U160" s="64">
        <f>IF(E160&lt;&gt;"","MUD-"&amp;TEXT(ROW()-3,"000"),"")</f>
        <v/>
      </c>
      <c r="V160" s="61" t="n"/>
      <c r="W160" s="59" t="n"/>
      <c r="X160" s="57" t="n"/>
      <c r="Y160" s="57" t="n"/>
      <c r="Z160" s="57" t="n"/>
      <c r="AA160" s="65" t="n"/>
      <c r="AB160" s="66">
        <f>IF(AND(X160&lt;&gt;"",Z160&lt;&gt;""),IFERROR((Z160-X160)*24,""),"")</f>
        <v/>
      </c>
      <c r="AC160" s="59" t="n"/>
      <c r="AD160" s="59" t="n"/>
      <c r="AE160" s="59" t="n"/>
      <c r="AF160" s="59" t="n"/>
      <c r="AG160" s="59" t="n"/>
      <c r="AH160" s="59" t="n"/>
      <c r="AI160" s="59" t="n"/>
      <c r="AJ160" s="61" t="n"/>
      <c r="AK160" s="61" t="n"/>
    </row>
    <row r="161" ht="18" customHeight="1">
      <c r="A161" s="54">
        <f>IF(E161&lt;&gt;"","MUD-"&amp;TEXT(ROW()-3,"000"),"")</f>
        <v/>
      </c>
      <c r="B161" s="67">
        <f>IF(E161&lt;&gt;"",TODAY(),"")</f>
        <v/>
      </c>
      <c r="C161" s="68" t="n"/>
      <c r="D161" s="69" t="n"/>
      <c r="E161" s="70" t="n"/>
      <c r="F161" s="70" t="n"/>
      <c r="G161" s="71" t="n"/>
      <c r="H161" s="70" t="n"/>
      <c r="I161" s="70" t="n"/>
      <c r="J161" s="72" t="n"/>
      <c r="K161" s="71" t="n"/>
      <c r="L161" s="73" t="n"/>
      <c r="M161" s="73" t="n"/>
      <c r="N161" s="74" t="n"/>
      <c r="O161" s="74" t="n"/>
      <c r="P161" s="63">
        <f>IF(N161&lt;&gt;"",N161-O161,"")</f>
        <v/>
      </c>
      <c r="Q161" s="71" t="n"/>
      <c r="R161" s="71" t="n"/>
      <c r="S161" s="71" t="n"/>
      <c r="T161" s="72" t="n"/>
      <c r="U161" s="64">
        <f>IF(E161&lt;&gt;"","MUD-"&amp;TEXT(ROW()-3,"000"),"")</f>
        <v/>
      </c>
      <c r="V161" s="73" t="n"/>
      <c r="W161" s="71" t="n"/>
      <c r="X161" s="69" t="n"/>
      <c r="Y161" s="69" t="n"/>
      <c r="Z161" s="69" t="n"/>
      <c r="AA161" s="75" t="n"/>
      <c r="AB161" s="66">
        <f>IF(AND(X161&lt;&gt;"",Z161&lt;&gt;""),IFERROR((Z161-X161)*24,""),"")</f>
        <v/>
      </c>
      <c r="AC161" s="71" t="n"/>
      <c r="AD161" s="71" t="n"/>
      <c r="AE161" s="71" t="n"/>
      <c r="AF161" s="71" t="n"/>
      <c r="AG161" s="71" t="n"/>
      <c r="AH161" s="71" t="n"/>
      <c r="AI161" s="71" t="n"/>
      <c r="AJ161" s="73" t="n"/>
      <c r="AK161" s="73" t="n"/>
    </row>
    <row r="162" ht="18" customHeight="1">
      <c r="A162" s="54">
        <f>IF(E162&lt;&gt;"","MUD-"&amp;TEXT(ROW()-3,"000"),"")</f>
        <v/>
      </c>
      <c r="B162" s="55">
        <f>IF(E162&lt;&gt;"",TODAY(),"")</f>
        <v/>
      </c>
      <c r="C162" s="56" t="n"/>
      <c r="D162" s="57" t="n"/>
      <c r="E162" s="58" t="n"/>
      <c r="F162" s="58" t="n"/>
      <c r="G162" s="59" t="n"/>
      <c r="H162" s="58" t="n"/>
      <c r="I162" s="58" t="n"/>
      <c r="J162" s="60" t="n"/>
      <c r="K162" s="59" t="n"/>
      <c r="L162" s="61" t="n"/>
      <c r="M162" s="61" t="n"/>
      <c r="N162" s="62" t="n"/>
      <c r="O162" s="62" t="n"/>
      <c r="P162" s="63">
        <f>IF(N162&lt;&gt;"",N162-O162,"")</f>
        <v/>
      </c>
      <c r="Q162" s="59" t="n"/>
      <c r="R162" s="59" t="n"/>
      <c r="S162" s="59" t="n"/>
      <c r="T162" s="60" t="n"/>
      <c r="U162" s="64">
        <f>IF(E162&lt;&gt;"","MUD-"&amp;TEXT(ROW()-3,"000"),"")</f>
        <v/>
      </c>
      <c r="V162" s="61" t="n"/>
      <c r="W162" s="59" t="n"/>
      <c r="X162" s="57" t="n"/>
      <c r="Y162" s="57" t="n"/>
      <c r="Z162" s="57" t="n"/>
      <c r="AA162" s="65" t="n"/>
      <c r="AB162" s="66">
        <f>IF(AND(X162&lt;&gt;"",Z162&lt;&gt;""),IFERROR((Z162-X162)*24,""),"")</f>
        <v/>
      </c>
      <c r="AC162" s="59" t="n"/>
      <c r="AD162" s="59" t="n"/>
      <c r="AE162" s="59" t="n"/>
      <c r="AF162" s="59" t="n"/>
      <c r="AG162" s="59" t="n"/>
      <c r="AH162" s="59" t="n"/>
      <c r="AI162" s="59" t="n"/>
      <c r="AJ162" s="61" t="n"/>
      <c r="AK162" s="61" t="n"/>
    </row>
    <row r="163" ht="18" customHeight="1">
      <c r="A163" s="54">
        <f>IF(E163&lt;&gt;"","MUD-"&amp;TEXT(ROW()-3,"000"),"")</f>
        <v/>
      </c>
      <c r="B163" s="67">
        <f>IF(E163&lt;&gt;"",TODAY(),"")</f>
        <v/>
      </c>
      <c r="C163" s="68" t="n"/>
      <c r="D163" s="69" t="n"/>
      <c r="E163" s="70" t="n"/>
      <c r="F163" s="70" t="n"/>
      <c r="G163" s="71" t="n"/>
      <c r="H163" s="70" t="n"/>
      <c r="I163" s="70" t="n"/>
      <c r="J163" s="72" t="n"/>
      <c r="K163" s="71" t="n"/>
      <c r="L163" s="73" t="n"/>
      <c r="M163" s="73" t="n"/>
      <c r="N163" s="74" t="n"/>
      <c r="O163" s="74" t="n"/>
      <c r="P163" s="63">
        <f>IF(N163&lt;&gt;"",N163-O163,"")</f>
        <v/>
      </c>
      <c r="Q163" s="71" t="n"/>
      <c r="R163" s="71" t="n"/>
      <c r="S163" s="71" t="n"/>
      <c r="T163" s="72" t="n"/>
      <c r="U163" s="64">
        <f>IF(E163&lt;&gt;"","MUD-"&amp;TEXT(ROW()-3,"000"),"")</f>
        <v/>
      </c>
      <c r="V163" s="73" t="n"/>
      <c r="W163" s="71" t="n"/>
      <c r="X163" s="69" t="n"/>
      <c r="Y163" s="69" t="n"/>
      <c r="Z163" s="69" t="n"/>
      <c r="AA163" s="75" t="n"/>
      <c r="AB163" s="66">
        <f>IF(AND(X163&lt;&gt;"",Z163&lt;&gt;""),IFERROR((Z163-X163)*24,""),"")</f>
        <v/>
      </c>
      <c r="AC163" s="71" t="n"/>
      <c r="AD163" s="71" t="n"/>
      <c r="AE163" s="71" t="n"/>
      <c r="AF163" s="71" t="n"/>
      <c r="AG163" s="71" t="n"/>
      <c r="AH163" s="71" t="n"/>
      <c r="AI163" s="71" t="n"/>
      <c r="AJ163" s="73" t="n"/>
      <c r="AK163" s="73" t="n"/>
    </row>
    <row r="164" ht="18" customHeight="1">
      <c r="A164" s="54">
        <f>IF(E164&lt;&gt;"","MUD-"&amp;TEXT(ROW()-3,"000"),"")</f>
        <v/>
      </c>
      <c r="B164" s="55">
        <f>IF(E164&lt;&gt;"",TODAY(),"")</f>
        <v/>
      </c>
      <c r="C164" s="56" t="n"/>
      <c r="D164" s="57" t="n"/>
      <c r="E164" s="58" t="n"/>
      <c r="F164" s="58" t="n"/>
      <c r="G164" s="59" t="n"/>
      <c r="H164" s="58" t="n"/>
      <c r="I164" s="58" t="n"/>
      <c r="J164" s="60" t="n"/>
      <c r="K164" s="59" t="n"/>
      <c r="L164" s="61" t="n"/>
      <c r="M164" s="61" t="n"/>
      <c r="N164" s="62" t="n"/>
      <c r="O164" s="62" t="n"/>
      <c r="P164" s="63">
        <f>IF(N164&lt;&gt;"",N164-O164,"")</f>
        <v/>
      </c>
      <c r="Q164" s="59" t="n"/>
      <c r="R164" s="59" t="n"/>
      <c r="S164" s="59" t="n"/>
      <c r="T164" s="60" t="n"/>
      <c r="U164" s="64">
        <f>IF(E164&lt;&gt;"","MUD-"&amp;TEXT(ROW()-3,"000"),"")</f>
        <v/>
      </c>
      <c r="V164" s="61" t="n"/>
      <c r="W164" s="59" t="n"/>
      <c r="X164" s="57" t="n"/>
      <c r="Y164" s="57" t="n"/>
      <c r="Z164" s="57" t="n"/>
      <c r="AA164" s="65" t="n"/>
      <c r="AB164" s="66">
        <f>IF(AND(X164&lt;&gt;"",Z164&lt;&gt;""),IFERROR((Z164-X164)*24,""),"")</f>
        <v/>
      </c>
      <c r="AC164" s="59" t="n"/>
      <c r="AD164" s="59" t="n"/>
      <c r="AE164" s="59" t="n"/>
      <c r="AF164" s="59" t="n"/>
      <c r="AG164" s="59" t="n"/>
      <c r="AH164" s="59" t="n"/>
      <c r="AI164" s="59" t="n"/>
      <c r="AJ164" s="61" t="n"/>
      <c r="AK164" s="61" t="n"/>
    </row>
    <row r="165" ht="18" customHeight="1">
      <c r="A165" s="54">
        <f>IF(E165&lt;&gt;"","MUD-"&amp;TEXT(ROW()-3,"000"),"")</f>
        <v/>
      </c>
      <c r="B165" s="67">
        <f>IF(E165&lt;&gt;"",TODAY(),"")</f>
        <v/>
      </c>
      <c r="C165" s="68" t="n"/>
      <c r="D165" s="69" t="n"/>
      <c r="E165" s="70" t="n"/>
      <c r="F165" s="70" t="n"/>
      <c r="G165" s="71" t="n"/>
      <c r="H165" s="70" t="n"/>
      <c r="I165" s="70" t="n"/>
      <c r="J165" s="72" t="n"/>
      <c r="K165" s="71" t="n"/>
      <c r="L165" s="73" t="n"/>
      <c r="M165" s="73" t="n"/>
      <c r="N165" s="74" t="n"/>
      <c r="O165" s="74" t="n"/>
      <c r="P165" s="63">
        <f>IF(N165&lt;&gt;"",N165-O165,"")</f>
        <v/>
      </c>
      <c r="Q165" s="71" t="n"/>
      <c r="R165" s="71" t="n"/>
      <c r="S165" s="71" t="n"/>
      <c r="T165" s="72" t="n"/>
      <c r="U165" s="64">
        <f>IF(E165&lt;&gt;"","MUD-"&amp;TEXT(ROW()-3,"000"),"")</f>
        <v/>
      </c>
      <c r="V165" s="73" t="n"/>
      <c r="W165" s="71" t="n"/>
      <c r="X165" s="69" t="n"/>
      <c r="Y165" s="69" t="n"/>
      <c r="Z165" s="69" t="n"/>
      <c r="AA165" s="75" t="n"/>
      <c r="AB165" s="66">
        <f>IF(AND(X165&lt;&gt;"",Z165&lt;&gt;""),IFERROR((Z165-X165)*24,""),"")</f>
        <v/>
      </c>
      <c r="AC165" s="71" t="n"/>
      <c r="AD165" s="71" t="n"/>
      <c r="AE165" s="71" t="n"/>
      <c r="AF165" s="71" t="n"/>
      <c r="AG165" s="71" t="n"/>
      <c r="AH165" s="71" t="n"/>
      <c r="AI165" s="71" t="n"/>
      <c r="AJ165" s="73" t="n"/>
      <c r="AK165" s="73" t="n"/>
    </row>
    <row r="166" ht="18" customHeight="1">
      <c r="A166" s="54">
        <f>IF(E166&lt;&gt;"","MUD-"&amp;TEXT(ROW()-3,"000"),"")</f>
        <v/>
      </c>
      <c r="B166" s="55">
        <f>IF(E166&lt;&gt;"",TODAY(),"")</f>
        <v/>
      </c>
      <c r="C166" s="56" t="n"/>
      <c r="D166" s="57" t="n"/>
      <c r="E166" s="58" t="n"/>
      <c r="F166" s="58" t="n"/>
      <c r="G166" s="59" t="n"/>
      <c r="H166" s="58" t="n"/>
      <c r="I166" s="58" t="n"/>
      <c r="J166" s="60" t="n"/>
      <c r="K166" s="59" t="n"/>
      <c r="L166" s="61" t="n"/>
      <c r="M166" s="61" t="n"/>
      <c r="N166" s="62" t="n"/>
      <c r="O166" s="62" t="n"/>
      <c r="P166" s="63">
        <f>IF(N166&lt;&gt;"",N166-O166,"")</f>
        <v/>
      </c>
      <c r="Q166" s="59" t="n"/>
      <c r="R166" s="59" t="n"/>
      <c r="S166" s="59" t="n"/>
      <c r="T166" s="60" t="n"/>
      <c r="U166" s="64">
        <f>IF(E166&lt;&gt;"","MUD-"&amp;TEXT(ROW()-3,"000"),"")</f>
        <v/>
      </c>
      <c r="V166" s="61" t="n"/>
      <c r="W166" s="59" t="n"/>
      <c r="X166" s="57" t="n"/>
      <c r="Y166" s="57" t="n"/>
      <c r="Z166" s="57" t="n"/>
      <c r="AA166" s="65" t="n"/>
      <c r="AB166" s="66">
        <f>IF(AND(X166&lt;&gt;"",Z166&lt;&gt;""),IFERROR((Z166-X166)*24,""),"")</f>
        <v/>
      </c>
      <c r="AC166" s="59" t="n"/>
      <c r="AD166" s="59" t="n"/>
      <c r="AE166" s="59" t="n"/>
      <c r="AF166" s="59" t="n"/>
      <c r="AG166" s="59" t="n"/>
      <c r="AH166" s="59" t="n"/>
      <c r="AI166" s="59" t="n"/>
      <c r="AJ166" s="61" t="n"/>
      <c r="AK166" s="61" t="n"/>
    </row>
    <row r="167" ht="18" customHeight="1">
      <c r="A167" s="54">
        <f>IF(E167&lt;&gt;"","MUD-"&amp;TEXT(ROW()-3,"000"),"")</f>
        <v/>
      </c>
      <c r="B167" s="67">
        <f>IF(E167&lt;&gt;"",TODAY(),"")</f>
        <v/>
      </c>
      <c r="C167" s="68" t="n"/>
      <c r="D167" s="69" t="n"/>
      <c r="E167" s="70" t="n"/>
      <c r="F167" s="70" t="n"/>
      <c r="G167" s="71" t="n"/>
      <c r="H167" s="70" t="n"/>
      <c r="I167" s="70" t="n"/>
      <c r="J167" s="72" t="n"/>
      <c r="K167" s="71" t="n"/>
      <c r="L167" s="73" t="n"/>
      <c r="M167" s="73" t="n"/>
      <c r="N167" s="74" t="n"/>
      <c r="O167" s="74" t="n"/>
      <c r="P167" s="63">
        <f>IF(N167&lt;&gt;"",N167-O167,"")</f>
        <v/>
      </c>
      <c r="Q167" s="71" t="n"/>
      <c r="R167" s="71" t="n"/>
      <c r="S167" s="71" t="n"/>
      <c r="T167" s="72" t="n"/>
      <c r="U167" s="64">
        <f>IF(E167&lt;&gt;"","MUD-"&amp;TEXT(ROW()-3,"000"),"")</f>
        <v/>
      </c>
      <c r="V167" s="73" t="n"/>
      <c r="W167" s="71" t="n"/>
      <c r="X167" s="69" t="n"/>
      <c r="Y167" s="69" t="n"/>
      <c r="Z167" s="69" t="n"/>
      <c r="AA167" s="75" t="n"/>
      <c r="AB167" s="66">
        <f>IF(AND(X167&lt;&gt;"",Z167&lt;&gt;""),IFERROR((Z167-X167)*24,""),"")</f>
        <v/>
      </c>
      <c r="AC167" s="71" t="n"/>
      <c r="AD167" s="71" t="n"/>
      <c r="AE167" s="71" t="n"/>
      <c r="AF167" s="71" t="n"/>
      <c r="AG167" s="71" t="n"/>
      <c r="AH167" s="71" t="n"/>
      <c r="AI167" s="71" t="n"/>
      <c r="AJ167" s="73" t="n"/>
      <c r="AK167" s="73" t="n"/>
    </row>
    <row r="168" ht="18" customHeight="1">
      <c r="A168" s="54">
        <f>IF(E168&lt;&gt;"","MUD-"&amp;TEXT(ROW()-3,"000"),"")</f>
        <v/>
      </c>
      <c r="B168" s="55">
        <f>IF(E168&lt;&gt;"",TODAY(),"")</f>
        <v/>
      </c>
      <c r="C168" s="56" t="n"/>
      <c r="D168" s="57" t="n"/>
      <c r="E168" s="58" t="n"/>
      <c r="F168" s="58" t="n"/>
      <c r="G168" s="59" t="n"/>
      <c r="H168" s="58" t="n"/>
      <c r="I168" s="58" t="n"/>
      <c r="J168" s="60" t="n"/>
      <c r="K168" s="59" t="n"/>
      <c r="L168" s="61" t="n"/>
      <c r="M168" s="61" t="n"/>
      <c r="N168" s="62" t="n"/>
      <c r="O168" s="62" t="n"/>
      <c r="P168" s="63">
        <f>IF(N168&lt;&gt;"",N168-O168,"")</f>
        <v/>
      </c>
      <c r="Q168" s="59" t="n"/>
      <c r="R168" s="59" t="n"/>
      <c r="S168" s="59" t="n"/>
      <c r="T168" s="60" t="n"/>
      <c r="U168" s="64">
        <f>IF(E168&lt;&gt;"","MUD-"&amp;TEXT(ROW()-3,"000"),"")</f>
        <v/>
      </c>
      <c r="V168" s="61" t="n"/>
      <c r="W168" s="59" t="n"/>
      <c r="X168" s="57" t="n"/>
      <c r="Y168" s="57" t="n"/>
      <c r="Z168" s="57" t="n"/>
      <c r="AA168" s="65" t="n"/>
      <c r="AB168" s="66">
        <f>IF(AND(X168&lt;&gt;"",Z168&lt;&gt;""),IFERROR((Z168-X168)*24,""),"")</f>
        <v/>
      </c>
      <c r="AC168" s="59" t="n"/>
      <c r="AD168" s="59" t="n"/>
      <c r="AE168" s="59" t="n"/>
      <c r="AF168" s="59" t="n"/>
      <c r="AG168" s="59" t="n"/>
      <c r="AH168" s="59" t="n"/>
      <c r="AI168" s="59" t="n"/>
      <c r="AJ168" s="61" t="n"/>
      <c r="AK168" s="61" t="n"/>
    </row>
    <row r="169" ht="18" customHeight="1">
      <c r="A169" s="54">
        <f>IF(E169&lt;&gt;"","MUD-"&amp;TEXT(ROW()-3,"000"),"")</f>
        <v/>
      </c>
      <c r="B169" s="67">
        <f>IF(E169&lt;&gt;"",TODAY(),"")</f>
        <v/>
      </c>
      <c r="C169" s="68" t="n"/>
      <c r="D169" s="69" t="n"/>
      <c r="E169" s="70" t="n"/>
      <c r="F169" s="70" t="n"/>
      <c r="G169" s="71" t="n"/>
      <c r="H169" s="70" t="n"/>
      <c r="I169" s="70" t="n"/>
      <c r="J169" s="72" t="n"/>
      <c r="K169" s="71" t="n"/>
      <c r="L169" s="73" t="n"/>
      <c r="M169" s="73" t="n"/>
      <c r="N169" s="74" t="n"/>
      <c r="O169" s="74" t="n"/>
      <c r="P169" s="63">
        <f>IF(N169&lt;&gt;"",N169-O169,"")</f>
        <v/>
      </c>
      <c r="Q169" s="71" t="n"/>
      <c r="R169" s="71" t="n"/>
      <c r="S169" s="71" t="n"/>
      <c r="T169" s="72" t="n"/>
      <c r="U169" s="64">
        <f>IF(E169&lt;&gt;"","MUD-"&amp;TEXT(ROW()-3,"000"),"")</f>
        <v/>
      </c>
      <c r="V169" s="73" t="n"/>
      <c r="W169" s="71" t="n"/>
      <c r="X169" s="69" t="n"/>
      <c r="Y169" s="69" t="n"/>
      <c r="Z169" s="69" t="n"/>
      <c r="AA169" s="75" t="n"/>
      <c r="AB169" s="66">
        <f>IF(AND(X169&lt;&gt;"",Z169&lt;&gt;""),IFERROR((Z169-X169)*24,""),"")</f>
        <v/>
      </c>
      <c r="AC169" s="71" t="n"/>
      <c r="AD169" s="71" t="n"/>
      <c r="AE169" s="71" t="n"/>
      <c r="AF169" s="71" t="n"/>
      <c r="AG169" s="71" t="n"/>
      <c r="AH169" s="71" t="n"/>
      <c r="AI169" s="71" t="n"/>
      <c r="AJ169" s="73" t="n"/>
      <c r="AK169" s="73" t="n"/>
    </row>
    <row r="170" ht="18" customHeight="1">
      <c r="A170" s="54">
        <f>IF(E170&lt;&gt;"","MUD-"&amp;TEXT(ROW()-3,"000"),"")</f>
        <v/>
      </c>
      <c r="B170" s="55">
        <f>IF(E170&lt;&gt;"",TODAY(),"")</f>
        <v/>
      </c>
      <c r="C170" s="56" t="n"/>
      <c r="D170" s="57" t="n"/>
      <c r="E170" s="58" t="n"/>
      <c r="F170" s="58" t="n"/>
      <c r="G170" s="59" t="n"/>
      <c r="H170" s="58" t="n"/>
      <c r="I170" s="58" t="n"/>
      <c r="J170" s="60" t="n"/>
      <c r="K170" s="59" t="n"/>
      <c r="L170" s="61" t="n"/>
      <c r="M170" s="61" t="n"/>
      <c r="N170" s="62" t="n"/>
      <c r="O170" s="62" t="n"/>
      <c r="P170" s="63">
        <f>IF(N170&lt;&gt;"",N170-O170,"")</f>
        <v/>
      </c>
      <c r="Q170" s="59" t="n"/>
      <c r="R170" s="59" t="n"/>
      <c r="S170" s="59" t="n"/>
      <c r="T170" s="60" t="n"/>
      <c r="U170" s="64">
        <f>IF(E170&lt;&gt;"","MUD-"&amp;TEXT(ROW()-3,"000"),"")</f>
        <v/>
      </c>
      <c r="V170" s="61" t="n"/>
      <c r="W170" s="59" t="n"/>
      <c r="X170" s="57" t="n"/>
      <c r="Y170" s="57" t="n"/>
      <c r="Z170" s="57" t="n"/>
      <c r="AA170" s="65" t="n"/>
      <c r="AB170" s="66">
        <f>IF(AND(X170&lt;&gt;"",Z170&lt;&gt;""),IFERROR((Z170-X170)*24,""),"")</f>
        <v/>
      </c>
      <c r="AC170" s="59" t="n"/>
      <c r="AD170" s="59" t="n"/>
      <c r="AE170" s="59" t="n"/>
      <c r="AF170" s="59" t="n"/>
      <c r="AG170" s="59" t="n"/>
      <c r="AH170" s="59" t="n"/>
      <c r="AI170" s="59" t="n"/>
      <c r="AJ170" s="61" t="n"/>
      <c r="AK170" s="61" t="n"/>
    </row>
    <row r="171" ht="18" customHeight="1">
      <c r="A171" s="54">
        <f>IF(E171&lt;&gt;"","MUD-"&amp;TEXT(ROW()-3,"000"),"")</f>
        <v/>
      </c>
      <c r="B171" s="67">
        <f>IF(E171&lt;&gt;"",TODAY(),"")</f>
        <v/>
      </c>
      <c r="C171" s="68" t="n"/>
      <c r="D171" s="69" t="n"/>
      <c r="E171" s="70" t="n"/>
      <c r="F171" s="70" t="n"/>
      <c r="G171" s="71" t="n"/>
      <c r="H171" s="70" t="n"/>
      <c r="I171" s="70" t="n"/>
      <c r="J171" s="72" t="n"/>
      <c r="K171" s="71" t="n"/>
      <c r="L171" s="73" t="n"/>
      <c r="M171" s="73" t="n"/>
      <c r="N171" s="74" t="n"/>
      <c r="O171" s="74" t="n"/>
      <c r="P171" s="63">
        <f>IF(N171&lt;&gt;"",N171-O171,"")</f>
        <v/>
      </c>
      <c r="Q171" s="71" t="n"/>
      <c r="R171" s="71" t="n"/>
      <c r="S171" s="71" t="n"/>
      <c r="T171" s="72" t="n"/>
      <c r="U171" s="64">
        <f>IF(E171&lt;&gt;"","MUD-"&amp;TEXT(ROW()-3,"000"),"")</f>
        <v/>
      </c>
      <c r="V171" s="73" t="n"/>
      <c r="W171" s="71" t="n"/>
      <c r="X171" s="69" t="n"/>
      <c r="Y171" s="69" t="n"/>
      <c r="Z171" s="69" t="n"/>
      <c r="AA171" s="75" t="n"/>
      <c r="AB171" s="66">
        <f>IF(AND(X171&lt;&gt;"",Z171&lt;&gt;""),IFERROR((Z171-X171)*24,""),"")</f>
        <v/>
      </c>
      <c r="AC171" s="71" t="n"/>
      <c r="AD171" s="71" t="n"/>
      <c r="AE171" s="71" t="n"/>
      <c r="AF171" s="71" t="n"/>
      <c r="AG171" s="71" t="n"/>
      <c r="AH171" s="71" t="n"/>
      <c r="AI171" s="71" t="n"/>
      <c r="AJ171" s="73" t="n"/>
      <c r="AK171" s="73" t="n"/>
    </row>
    <row r="172" ht="18" customHeight="1">
      <c r="A172" s="54">
        <f>IF(E172&lt;&gt;"","MUD-"&amp;TEXT(ROW()-3,"000"),"")</f>
        <v/>
      </c>
      <c r="B172" s="55">
        <f>IF(E172&lt;&gt;"",TODAY(),"")</f>
        <v/>
      </c>
      <c r="C172" s="56" t="n"/>
      <c r="D172" s="57" t="n"/>
      <c r="E172" s="58" t="n"/>
      <c r="F172" s="58" t="n"/>
      <c r="G172" s="59" t="n"/>
      <c r="H172" s="58" t="n"/>
      <c r="I172" s="58" t="n"/>
      <c r="J172" s="60" t="n"/>
      <c r="K172" s="59" t="n"/>
      <c r="L172" s="61" t="n"/>
      <c r="M172" s="61" t="n"/>
      <c r="N172" s="62" t="n"/>
      <c r="O172" s="62" t="n"/>
      <c r="P172" s="63">
        <f>IF(N172&lt;&gt;"",N172-O172,"")</f>
        <v/>
      </c>
      <c r="Q172" s="59" t="n"/>
      <c r="R172" s="59" t="n"/>
      <c r="S172" s="59" t="n"/>
      <c r="T172" s="60" t="n"/>
      <c r="U172" s="64">
        <f>IF(E172&lt;&gt;"","MUD-"&amp;TEXT(ROW()-3,"000"),"")</f>
        <v/>
      </c>
      <c r="V172" s="61" t="n"/>
      <c r="W172" s="59" t="n"/>
      <c r="X172" s="57" t="n"/>
      <c r="Y172" s="57" t="n"/>
      <c r="Z172" s="57" t="n"/>
      <c r="AA172" s="65" t="n"/>
      <c r="AB172" s="66">
        <f>IF(AND(X172&lt;&gt;"",Z172&lt;&gt;""),IFERROR((Z172-X172)*24,""),"")</f>
        <v/>
      </c>
      <c r="AC172" s="59" t="n"/>
      <c r="AD172" s="59" t="n"/>
      <c r="AE172" s="59" t="n"/>
      <c r="AF172" s="59" t="n"/>
      <c r="AG172" s="59" t="n"/>
      <c r="AH172" s="59" t="n"/>
      <c r="AI172" s="59" t="n"/>
      <c r="AJ172" s="61" t="n"/>
      <c r="AK172" s="61" t="n"/>
    </row>
    <row r="173" ht="18" customHeight="1">
      <c r="A173" s="54">
        <f>IF(E173&lt;&gt;"","MUD-"&amp;TEXT(ROW()-3,"000"),"")</f>
        <v/>
      </c>
      <c r="B173" s="67">
        <f>IF(E173&lt;&gt;"",TODAY(),"")</f>
        <v/>
      </c>
      <c r="C173" s="68" t="n"/>
      <c r="D173" s="69" t="n"/>
      <c r="E173" s="70" t="n"/>
      <c r="F173" s="70" t="n"/>
      <c r="G173" s="71" t="n"/>
      <c r="H173" s="70" t="n"/>
      <c r="I173" s="70" t="n"/>
      <c r="J173" s="72" t="n"/>
      <c r="K173" s="71" t="n"/>
      <c r="L173" s="73" t="n"/>
      <c r="M173" s="73" t="n"/>
      <c r="N173" s="74" t="n"/>
      <c r="O173" s="74" t="n"/>
      <c r="P173" s="63">
        <f>IF(N173&lt;&gt;"",N173-O173,"")</f>
        <v/>
      </c>
      <c r="Q173" s="71" t="n"/>
      <c r="R173" s="71" t="n"/>
      <c r="S173" s="71" t="n"/>
      <c r="T173" s="72" t="n"/>
      <c r="U173" s="64">
        <f>IF(E173&lt;&gt;"","MUD-"&amp;TEXT(ROW()-3,"000"),"")</f>
        <v/>
      </c>
      <c r="V173" s="73" t="n"/>
      <c r="W173" s="71" t="n"/>
      <c r="X173" s="69" t="n"/>
      <c r="Y173" s="69" t="n"/>
      <c r="Z173" s="69" t="n"/>
      <c r="AA173" s="75" t="n"/>
      <c r="AB173" s="66">
        <f>IF(AND(X173&lt;&gt;"",Z173&lt;&gt;""),IFERROR((Z173-X173)*24,""),"")</f>
        <v/>
      </c>
      <c r="AC173" s="71" t="n"/>
      <c r="AD173" s="71" t="n"/>
      <c r="AE173" s="71" t="n"/>
      <c r="AF173" s="71" t="n"/>
      <c r="AG173" s="71" t="n"/>
      <c r="AH173" s="71" t="n"/>
      <c r="AI173" s="71" t="n"/>
      <c r="AJ173" s="73" t="n"/>
      <c r="AK173" s="73" t="n"/>
    </row>
    <row r="174" ht="18" customHeight="1">
      <c r="A174" s="54">
        <f>IF(E174&lt;&gt;"","MUD-"&amp;TEXT(ROW()-3,"000"),"")</f>
        <v/>
      </c>
      <c r="B174" s="55">
        <f>IF(E174&lt;&gt;"",TODAY(),"")</f>
        <v/>
      </c>
      <c r="C174" s="56" t="n"/>
      <c r="D174" s="57" t="n"/>
      <c r="E174" s="58" t="n"/>
      <c r="F174" s="58" t="n"/>
      <c r="G174" s="59" t="n"/>
      <c r="H174" s="58" t="n"/>
      <c r="I174" s="58" t="n"/>
      <c r="J174" s="60" t="n"/>
      <c r="K174" s="59" t="n"/>
      <c r="L174" s="61" t="n"/>
      <c r="M174" s="61" t="n"/>
      <c r="N174" s="62" t="n"/>
      <c r="O174" s="62" t="n"/>
      <c r="P174" s="63">
        <f>IF(N174&lt;&gt;"",N174-O174,"")</f>
        <v/>
      </c>
      <c r="Q174" s="59" t="n"/>
      <c r="R174" s="59" t="n"/>
      <c r="S174" s="59" t="n"/>
      <c r="T174" s="60" t="n"/>
      <c r="U174" s="64">
        <f>IF(E174&lt;&gt;"","MUD-"&amp;TEXT(ROW()-3,"000"),"")</f>
        <v/>
      </c>
      <c r="V174" s="61" t="n"/>
      <c r="W174" s="59" t="n"/>
      <c r="X174" s="57" t="n"/>
      <c r="Y174" s="57" t="n"/>
      <c r="Z174" s="57" t="n"/>
      <c r="AA174" s="65" t="n"/>
      <c r="AB174" s="66">
        <f>IF(AND(X174&lt;&gt;"",Z174&lt;&gt;""),IFERROR((Z174-X174)*24,""),"")</f>
        <v/>
      </c>
      <c r="AC174" s="59" t="n"/>
      <c r="AD174" s="59" t="n"/>
      <c r="AE174" s="59" t="n"/>
      <c r="AF174" s="59" t="n"/>
      <c r="AG174" s="59" t="n"/>
      <c r="AH174" s="59" t="n"/>
      <c r="AI174" s="59" t="n"/>
      <c r="AJ174" s="61" t="n"/>
      <c r="AK174" s="61" t="n"/>
    </row>
    <row r="175" ht="18" customHeight="1">
      <c r="A175" s="54">
        <f>IF(E175&lt;&gt;"","MUD-"&amp;TEXT(ROW()-3,"000"),"")</f>
        <v/>
      </c>
      <c r="B175" s="67">
        <f>IF(E175&lt;&gt;"",TODAY(),"")</f>
        <v/>
      </c>
      <c r="C175" s="68" t="n"/>
      <c r="D175" s="69" t="n"/>
      <c r="E175" s="70" t="n"/>
      <c r="F175" s="70" t="n"/>
      <c r="G175" s="71" t="n"/>
      <c r="H175" s="70" t="n"/>
      <c r="I175" s="70" t="n"/>
      <c r="J175" s="72" t="n"/>
      <c r="K175" s="71" t="n"/>
      <c r="L175" s="73" t="n"/>
      <c r="M175" s="73" t="n"/>
      <c r="N175" s="74" t="n"/>
      <c r="O175" s="74" t="n"/>
      <c r="P175" s="63">
        <f>IF(N175&lt;&gt;"",N175-O175,"")</f>
        <v/>
      </c>
      <c r="Q175" s="71" t="n"/>
      <c r="R175" s="71" t="n"/>
      <c r="S175" s="71" t="n"/>
      <c r="T175" s="72" t="n"/>
      <c r="U175" s="64">
        <f>IF(E175&lt;&gt;"","MUD-"&amp;TEXT(ROW()-3,"000"),"")</f>
        <v/>
      </c>
      <c r="V175" s="73" t="n"/>
      <c r="W175" s="71" t="n"/>
      <c r="X175" s="69" t="n"/>
      <c r="Y175" s="69" t="n"/>
      <c r="Z175" s="69" t="n"/>
      <c r="AA175" s="75" t="n"/>
      <c r="AB175" s="66">
        <f>IF(AND(X175&lt;&gt;"",Z175&lt;&gt;""),IFERROR((Z175-X175)*24,""),"")</f>
        <v/>
      </c>
      <c r="AC175" s="71" t="n"/>
      <c r="AD175" s="71" t="n"/>
      <c r="AE175" s="71" t="n"/>
      <c r="AF175" s="71" t="n"/>
      <c r="AG175" s="71" t="n"/>
      <c r="AH175" s="71" t="n"/>
      <c r="AI175" s="71" t="n"/>
      <c r="AJ175" s="73" t="n"/>
      <c r="AK175" s="73" t="n"/>
    </row>
    <row r="176" ht="18" customHeight="1">
      <c r="A176" s="54">
        <f>IF(E176&lt;&gt;"","MUD-"&amp;TEXT(ROW()-3,"000"),"")</f>
        <v/>
      </c>
      <c r="B176" s="55">
        <f>IF(E176&lt;&gt;"",TODAY(),"")</f>
        <v/>
      </c>
      <c r="C176" s="56" t="n"/>
      <c r="D176" s="57" t="n"/>
      <c r="E176" s="58" t="n"/>
      <c r="F176" s="58" t="n"/>
      <c r="G176" s="59" t="n"/>
      <c r="H176" s="58" t="n"/>
      <c r="I176" s="58" t="n"/>
      <c r="J176" s="60" t="n"/>
      <c r="K176" s="59" t="n"/>
      <c r="L176" s="61" t="n"/>
      <c r="M176" s="61" t="n"/>
      <c r="N176" s="62" t="n"/>
      <c r="O176" s="62" t="n"/>
      <c r="P176" s="63">
        <f>IF(N176&lt;&gt;"",N176-O176,"")</f>
        <v/>
      </c>
      <c r="Q176" s="59" t="n"/>
      <c r="R176" s="59" t="n"/>
      <c r="S176" s="59" t="n"/>
      <c r="T176" s="60" t="n"/>
      <c r="U176" s="64">
        <f>IF(E176&lt;&gt;"","MUD-"&amp;TEXT(ROW()-3,"000"),"")</f>
        <v/>
      </c>
      <c r="V176" s="61" t="n"/>
      <c r="W176" s="59" t="n"/>
      <c r="X176" s="57" t="n"/>
      <c r="Y176" s="57" t="n"/>
      <c r="Z176" s="57" t="n"/>
      <c r="AA176" s="65" t="n"/>
      <c r="AB176" s="66">
        <f>IF(AND(X176&lt;&gt;"",Z176&lt;&gt;""),IFERROR((Z176-X176)*24,""),"")</f>
        <v/>
      </c>
      <c r="AC176" s="59" t="n"/>
      <c r="AD176" s="59" t="n"/>
      <c r="AE176" s="59" t="n"/>
      <c r="AF176" s="59" t="n"/>
      <c r="AG176" s="59" t="n"/>
      <c r="AH176" s="59" t="n"/>
      <c r="AI176" s="59" t="n"/>
      <c r="AJ176" s="61" t="n"/>
      <c r="AK176" s="61" t="n"/>
    </row>
    <row r="177" ht="18" customHeight="1">
      <c r="A177" s="54">
        <f>IF(E177&lt;&gt;"","MUD-"&amp;TEXT(ROW()-3,"000"),"")</f>
        <v/>
      </c>
      <c r="B177" s="67">
        <f>IF(E177&lt;&gt;"",TODAY(),"")</f>
        <v/>
      </c>
      <c r="C177" s="68" t="n"/>
      <c r="D177" s="69" t="n"/>
      <c r="E177" s="70" t="n"/>
      <c r="F177" s="70" t="n"/>
      <c r="G177" s="71" t="n"/>
      <c r="H177" s="70" t="n"/>
      <c r="I177" s="70" t="n"/>
      <c r="J177" s="72" t="n"/>
      <c r="K177" s="71" t="n"/>
      <c r="L177" s="73" t="n"/>
      <c r="M177" s="73" t="n"/>
      <c r="N177" s="74" t="n"/>
      <c r="O177" s="74" t="n"/>
      <c r="P177" s="63">
        <f>IF(N177&lt;&gt;"",N177-O177,"")</f>
        <v/>
      </c>
      <c r="Q177" s="71" t="n"/>
      <c r="R177" s="71" t="n"/>
      <c r="S177" s="71" t="n"/>
      <c r="T177" s="72" t="n"/>
      <c r="U177" s="64">
        <f>IF(E177&lt;&gt;"","MUD-"&amp;TEXT(ROW()-3,"000"),"")</f>
        <v/>
      </c>
      <c r="V177" s="73" t="n"/>
      <c r="W177" s="71" t="n"/>
      <c r="X177" s="69" t="n"/>
      <c r="Y177" s="69" t="n"/>
      <c r="Z177" s="69" t="n"/>
      <c r="AA177" s="75" t="n"/>
      <c r="AB177" s="66">
        <f>IF(AND(X177&lt;&gt;"",Z177&lt;&gt;""),IFERROR((Z177-X177)*24,""),"")</f>
        <v/>
      </c>
      <c r="AC177" s="71" t="n"/>
      <c r="AD177" s="71" t="n"/>
      <c r="AE177" s="71" t="n"/>
      <c r="AF177" s="71" t="n"/>
      <c r="AG177" s="71" t="n"/>
      <c r="AH177" s="71" t="n"/>
      <c r="AI177" s="71" t="n"/>
      <c r="AJ177" s="73" t="n"/>
      <c r="AK177" s="73" t="n"/>
    </row>
    <row r="178" ht="18" customHeight="1">
      <c r="A178" s="54">
        <f>IF(E178&lt;&gt;"","MUD-"&amp;TEXT(ROW()-3,"000"),"")</f>
        <v/>
      </c>
      <c r="B178" s="55">
        <f>IF(E178&lt;&gt;"",TODAY(),"")</f>
        <v/>
      </c>
      <c r="C178" s="56" t="n"/>
      <c r="D178" s="57" t="n"/>
      <c r="E178" s="58" t="n"/>
      <c r="F178" s="58" t="n"/>
      <c r="G178" s="59" t="n"/>
      <c r="H178" s="58" t="n"/>
      <c r="I178" s="58" t="n"/>
      <c r="J178" s="60" t="n"/>
      <c r="K178" s="59" t="n"/>
      <c r="L178" s="61" t="n"/>
      <c r="M178" s="61" t="n"/>
      <c r="N178" s="62" t="n"/>
      <c r="O178" s="62" t="n"/>
      <c r="P178" s="63">
        <f>IF(N178&lt;&gt;"",N178-O178,"")</f>
        <v/>
      </c>
      <c r="Q178" s="59" t="n"/>
      <c r="R178" s="59" t="n"/>
      <c r="S178" s="59" t="n"/>
      <c r="T178" s="60" t="n"/>
      <c r="U178" s="64">
        <f>IF(E178&lt;&gt;"","MUD-"&amp;TEXT(ROW()-3,"000"),"")</f>
        <v/>
      </c>
      <c r="V178" s="61" t="n"/>
      <c r="W178" s="59" t="n"/>
      <c r="X178" s="57" t="n"/>
      <c r="Y178" s="57" t="n"/>
      <c r="Z178" s="57" t="n"/>
      <c r="AA178" s="65" t="n"/>
      <c r="AB178" s="66">
        <f>IF(AND(X178&lt;&gt;"",Z178&lt;&gt;""),IFERROR((Z178-X178)*24,""),"")</f>
        <v/>
      </c>
      <c r="AC178" s="59" t="n"/>
      <c r="AD178" s="59" t="n"/>
      <c r="AE178" s="59" t="n"/>
      <c r="AF178" s="59" t="n"/>
      <c r="AG178" s="59" t="n"/>
      <c r="AH178" s="59" t="n"/>
      <c r="AI178" s="59" t="n"/>
      <c r="AJ178" s="61" t="n"/>
      <c r="AK178" s="61" t="n"/>
    </row>
    <row r="179" ht="18" customHeight="1">
      <c r="A179" s="54">
        <f>IF(E179&lt;&gt;"","MUD-"&amp;TEXT(ROW()-3,"000"),"")</f>
        <v/>
      </c>
      <c r="B179" s="67">
        <f>IF(E179&lt;&gt;"",TODAY(),"")</f>
        <v/>
      </c>
      <c r="C179" s="68" t="n"/>
      <c r="D179" s="69" t="n"/>
      <c r="E179" s="70" t="n"/>
      <c r="F179" s="70" t="n"/>
      <c r="G179" s="71" t="n"/>
      <c r="H179" s="70" t="n"/>
      <c r="I179" s="70" t="n"/>
      <c r="J179" s="72" t="n"/>
      <c r="K179" s="71" t="n"/>
      <c r="L179" s="73" t="n"/>
      <c r="M179" s="73" t="n"/>
      <c r="N179" s="74" t="n"/>
      <c r="O179" s="74" t="n"/>
      <c r="P179" s="63">
        <f>IF(N179&lt;&gt;"",N179-O179,"")</f>
        <v/>
      </c>
      <c r="Q179" s="71" t="n"/>
      <c r="R179" s="71" t="n"/>
      <c r="S179" s="71" t="n"/>
      <c r="T179" s="72" t="n"/>
      <c r="U179" s="64">
        <f>IF(E179&lt;&gt;"","MUD-"&amp;TEXT(ROW()-3,"000"),"")</f>
        <v/>
      </c>
      <c r="V179" s="73" t="n"/>
      <c r="W179" s="71" t="n"/>
      <c r="X179" s="69" t="n"/>
      <c r="Y179" s="69" t="n"/>
      <c r="Z179" s="69" t="n"/>
      <c r="AA179" s="75" t="n"/>
      <c r="AB179" s="66">
        <f>IF(AND(X179&lt;&gt;"",Z179&lt;&gt;""),IFERROR((Z179-X179)*24,""),"")</f>
        <v/>
      </c>
      <c r="AC179" s="71" t="n"/>
      <c r="AD179" s="71" t="n"/>
      <c r="AE179" s="71" t="n"/>
      <c r="AF179" s="71" t="n"/>
      <c r="AG179" s="71" t="n"/>
      <c r="AH179" s="71" t="n"/>
      <c r="AI179" s="71" t="n"/>
      <c r="AJ179" s="73" t="n"/>
      <c r="AK179" s="73" t="n"/>
    </row>
    <row r="180" ht="18" customHeight="1">
      <c r="A180" s="54">
        <f>IF(E180&lt;&gt;"","MUD-"&amp;TEXT(ROW()-3,"000"),"")</f>
        <v/>
      </c>
      <c r="B180" s="55">
        <f>IF(E180&lt;&gt;"",TODAY(),"")</f>
        <v/>
      </c>
      <c r="C180" s="56" t="n"/>
      <c r="D180" s="57" t="n"/>
      <c r="E180" s="58" t="n"/>
      <c r="F180" s="58" t="n"/>
      <c r="G180" s="59" t="n"/>
      <c r="H180" s="58" t="n"/>
      <c r="I180" s="58" t="n"/>
      <c r="J180" s="60" t="n"/>
      <c r="K180" s="59" t="n"/>
      <c r="L180" s="61" t="n"/>
      <c r="M180" s="61" t="n"/>
      <c r="N180" s="62" t="n"/>
      <c r="O180" s="62" t="n"/>
      <c r="P180" s="63">
        <f>IF(N180&lt;&gt;"",N180-O180,"")</f>
        <v/>
      </c>
      <c r="Q180" s="59" t="n"/>
      <c r="R180" s="59" t="n"/>
      <c r="S180" s="59" t="n"/>
      <c r="T180" s="60" t="n"/>
      <c r="U180" s="64">
        <f>IF(E180&lt;&gt;"","MUD-"&amp;TEXT(ROW()-3,"000"),"")</f>
        <v/>
      </c>
      <c r="V180" s="61" t="n"/>
      <c r="W180" s="59" t="n"/>
      <c r="X180" s="57" t="n"/>
      <c r="Y180" s="57" t="n"/>
      <c r="Z180" s="57" t="n"/>
      <c r="AA180" s="65" t="n"/>
      <c r="AB180" s="66">
        <f>IF(AND(X180&lt;&gt;"",Z180&lt;&gt;""),IFERROR((Z180-X180)*24,""),"")</f>
        <v/>
      </c>
      <c r="AC180" s="59" t="n"/>
      <c r="AD180" s="59" t="n"/>
      <c r="AE180" s="59" t="n"/>
      <c r="AF180" s="59" t="n"/>
      <c r="AG180" s="59" t="n"/>
      <c r="AH180" s="59" t="n"/>
      <c r="AI180" s="59" t="n"/>
      <c r="AJ180" s="61" t="n"/>
      <c r="AK180" s="61" t="n"/>
    </row>
    <row r="181" ht="18" customHeight="1">
      <c r="A181" s="54">
        <f>IF(E181&lt;&gt;"","MUD-"&amp;TEXT(ROW()-3,"000"),"")</f>
        <v/>
      </c>
      <c r="B181" s="67">
        <f>IF(E181&lt;&gt;"",TODAY(),"")</f>
        <v/>
      </c>
      <c r="C181" s="68" t="n"/>
      <c r="D181" s="69" t="n"/>
      <c r="E181" s="70" t="n"/>
      <c r="F181" s="70" t="n"/>
      <c r="G181" s="71" t="n"/>
      <c r="H181" s="70" t="n"/>
      <c r="I181" s="70" t="n"/>
      <c r="J181" s="72" t="n"/>
      <c r="K181" s="71" t="n"/>
      <c r="L181" s="73" t="n"/>
      <c r="M181" s="73" t="n"/>
      <c r="N181" s="74" t="n"/>
      <c r="O181" s="74" t="n"/>
      <c r="P181" s="63">
        <f>IF(N181&lt;&gt;"",N181-O181,"")</f>
        <v/>
      </c>
      <c r="Q181" s="71" t="n"/>
      <c r="R181" s="71" t="n"/>
      <c r="S181" s="71" t="n"/>
      <c r="T181" s="72" t="n"/>
      <c r="U181" s="64">
        <f>IF(E181&lt;&gt;"","MUD-"&amp;TEXT(ROW()-3,"000"),"")</f>
        <v/>
      </c>
      <c r="V181" s="73" t="n"/>
      <c r="W181" s="71" t="n"/>
      <c r="X181" s="69" t="n"/>
      <c r="Y181" s="69" t="n"/>
      <c r="Z181" s="69" t="n"/>
      <c r="AA181" s="75" t="n"/>
      <c r="AB181" s="66">
        <f>IF(AND(X181&lt;&gt;"",Z181&lt;&gt;""),IFERROR((Z181-X181)*24,""),"")</f>
        <v/>
      </c>
      <c r="AC181" s="71" t="n"/>
      <c r="AD181" s="71" t="n"/>
      <c r="AE181" s="71" t="n"/>
      <c r="AF181" s="71" t="n"/>
      <c r="AG181" s="71" t="n"/>
      <c r="AH181" s="71" t="n"/>
      <c r="AI181" s="71" t="n"/>
      <c r="AJ181" s="73" t="n"/>
      <c r="AK181" s="73" t="n"/>
    </row>
    <row r="182" ht="18" customHeight="1">
      <c r="A182" s="54">
        <f>IF(E182&lt;&gt;"","MUD-"&amp;TEXT(ROW()-3,"000"),"")</f>
        <v/>
      </c>
      <c r="B182" s="55">
        <f>IF(E182&lt;&gt;"",TODAY(),"")</f>
        <v/>
      </c>
      <c r="C182" s="56" t="n"/>
      <c r="D182" s="57" t="n"/>
      <c r="E182" s="58" t="n"/>
      <c r="F182" s="58" t="n"/>
      <c r="G182" s="59" t="n"/>
      <c r="H182" s="58" t="n"/>
      <c r="I182" s="58" t="n"/>
      <c r="J182" s="60" t="n"/>
      <c r="K182" s="59" t="n"/>
      <c r="L182" s="61" t="n"/>
      <c r="M182" s="61" t="n"/>
      <c r="N182" s="62" t="n"/>
      <c r="O182" s="62" t="n"/>
      <c r="P182" s="63">
        <f>IF(N182&lt;&gt;"",N182-O182,"")</f>
        <v/>
      </c>
      <c r="Q182" s="59" t="n"/>
      <c r="R182" s="59" t="n"/>
      <c r="S182" s="59" t="n"/>
      <c r="T182" s="60" t="n"/>
      <c r="U182" s="64">
        <f>IF(E182&lt;&gt;"","MUD-"&amp;TEXT(ROW()-3,"000"),"")</f>
        <v/>
      </c>
      <c r="V182" s="61" t="n"/>
      <c r="W182" s="59" t="n"/>
      <c r="X182" s="57" t="n"/>
      <c r="Y182" s="57" t="n"/>
      <c r="Z182" s="57" t="n"/>
      <c r="AA182" s="65" t="n"/>
      <c r="AB182" s="66">
        <f>IF(AND(X182&lt;&gt;"",Z182&lt;&gt;""),IFERROR((Z182-X182)*24,""),"")</f>
        <v/>
      </c>
      <c r="AC182" s="59" t="n"/>
      <c r="AD182" s="59" t="n"/>
      <c r="AE182" s="59" t="n"/>
      <c r="AF182" s="59" t="n"/>
      <c r="AG182" s="59" t="n"/>
      <c r="AH182" s="59" t="n"/>
      <c r="AI182" s="59" t="n"/>
      <c r="AJ182" s="61" t="n"/>
      <c r="AK182" s="61" t="n"/>
    </row>
    <row r="183" ht="18" customHeight="1">
      <c r="A183" s="54">
        <f>IF(E183&lt;&gt;"","MUD-"&amp;TEXT(ROW()-3,"000"),"")</f>
        <v/>
      </c>
      <c r="B183" s="67">
        <f>IF(E183&lt;&gt;"",TODAY(),"")</f>
        <v/>
      </c>
      <c r="C183" s="68" t="n"/>
      <c r="D183" s="69" t="n"/>
      <c r="E183" s="70" t="n"/>
      <c r="F183" s="70" t="n"/>
      <c r="G183" s="71" t="n"/>
      <c r="H183" s="70" t="n"/>
      <c r="I183" s="70" t="n"/>
      <c r="J183" s="72" t="n"/>
      <c r="K183" s="71" t="n"/>
      <c r="L183" s="73" t="n"/>
      <c r="M183" s="73" t="n"/>
      <c r="N183" s="74" t="n"/>
      <c r="O183" s="74" t="n"/>
      <c r="P183" s="63">
        <f>IF(N183&lt;&gt;"",N183-O183,"")</f>
        <v/>
      </c>
      <c r="Q183" s="71" t="n"/>
      <c r="R183" s="71" t="n"/>
      <c r="S183" s="71" t="n"/>
      <c r="T183" s="72" t="n"/>
      <c r="U183" s="64">
        <f>IF(E183&lt;&gt;"","MUD-"&amp;TEXT(ROW()-3,"000"),"")</f>
        <v/>
      </c>
      <c r="V183" s="73" t="n"/>
      <c r="W183" s="71" t="n"/>
      <c r="X183" s="69" t="n"/>
      <c r="Y183" s="69" t="n"/>
      <c r="Z183" s="69" t="n"/>
      <c r="AA183" s="75" t="n"/>
      <c r="AB183" s="66">
        <f>IF(AND(X183&lt;&gt;"",Z183&lt;&gt;""),IFERROR((Z183-X183)*24,""),"")</f>
        <v/>
      </c>
      <c r="AC183" s="71" t="n"/>
      <c r="AD183" s="71" t="n"/>
      <c r="AE183" s="71" t="n"/>
      <c r="AF183" s="71" t="n"/>
      <c r="AG183" s="71" t="n"/>
      <c r="AH183" s="71" t="n"/>
      <c r="AI183" s="71" t="n"/>
      <c r="AJ183" s="73" t="n"/>
      <c r="AK183" s="73" t="n"/>
    </row>
    <row r="184" ht="18" customHeight="1">
      <c r="A184" s="54">
        <f>IF(E184&lt;&gt;"","MUD-"&amp;TEXT(ROW()-3,"000"),"")</f>
        <v/>
      </c>
      <c r="B184" s="55">
        <f>IF(E184&lt;&gt;"",TODAY(),"")</f>
        <v/>
      </c>
      <c r="C184" s="56" t="n"/>
      <c r="D184" s="57" t="n"/>
      <c r="E184" s="58" t="n"/>
      <c r="F184" s="58" t="n"/>
      <c r="G184" s="59" t="n"/>
      <c r="H184" s="58" t="n"/>
      <c r="I184" s="58" t="n"/>
      <c r="J184" s="60" t="n"/>
      <c r="K184" s="59" t="n"/>
      <c r="L184" s="61" t="n"/>
      <c r="M184" s="61" t="n"/>
      <c r="N184" s="62" t="n"/>
      <c r="O184" s="62" t="n"/>
      <c r="P184" s="63">
        <f>IF(N184&lt;&gt;"",N184-O184,"")</f>
        <v/>
      </c>
      <c r="Q184" s="59" t="n"/>
      <c r="R184" s="59" t="n"/>
      <c r="S184" s="59" t="n"/>
      <c r="T184" s="60" t="n"/>
      <c r="U184" s="64">
        <f>IF(E184&lt;&gt;"","MUD-"&amp;TEXT(ROW()-3,"000"),"")</f>
        <v/>
      </c>
      <c r="V184" s="61" t="n"/>
      <c r="W184" s="59" t="n"/>
      <c r="X184" s="57" t="n"/>
      <c r="Y184" s="57" t="n"/>
      <c r="Z184" s="57" t="n"/>
      <c r="AA184" s="65" t="n"/>
      <c r="AB184" s="66">
        <f>IF(AND(X184&lt;&gt;"",Z184&lt;&gt;""),IFERROR((Z184-X184)*24,""),"")</f>
        <v/>
      </c>
      <c r="AC184" s="59" t="n"/>
      <c r="AD184" s="59" t="n"/>
      <c r="AE184" s="59" t="n"/>
      <c r="AF184" s="59" t="n"/>
      <c r="AG184" s="59" t="n"/>
      <c r="AH184" s="59" t="n"/>
      <c r="AI184" s="59" t="n"/>
      <c r="AJ184" s="61" t="n"/>
      <c r="AK184" s="61" t="n"/>
    </row>
    <row r="185" ht="18" customHeight="1">
      <c r="A185" s="54">
        <f>IF(E185&lt;&gt;"","MUD-"&amp;TEXT(ROW()-3,"000"),"")</f>
        <v/>
      </c>
      <c r="B185" s="67">
        <f>IF(E185&lt;&gt;"",TODAY(),"")</f>
        <v/>
      </c>
      <c r="C185" s="68" t="n"/>
      <c r="D185" s="69" t="n"/>
      <c r="E185" s="70" t="n"/>
      <c r="F185" s="70" t="n"/>
      <c r="G185" s="71" t="n"/>
      <c r="H185" s="70" t="n"/>
      <c r="I185" s="70" t="n"/>
      <c r="J185" s="72" t="n"/>
      <c r="K185" s="71" t="n"/>
      <c r="L185" s="73" t="n"/>
      <c r="M185" s="73" t="n"/>
      <c r="N185" s="74" t="n"/>
      <c r="O185" s="74" t="n"/>
      <c r="P185" s="63">
        <f>IF(N185&lt;&gt;"",N185-O185,"")</f>
        <v/>
      </c>
      <c r="Q185" s="71" t="n"/>
      <c r="R185" s="71" t="n"/>
      <c r="S185" s="71" t="n"/>
      <c r="T185" s="72" t="n"/>
      <c r="U185" s="64">
        <f>IF(E185&lt;&gt;"","MUD-"&amp;TEXT(ROW()-3,"000"),"")</f>
        <v/>
      </c>
      <c r="V185" s="73" t="n"/>
      <c r="W185" s="71" t="n"/>
      <c r="X185" s="69" t="n"/>
      <c r="Y185" s="69" t="n"/>
      <c r="Z185" s="69" t="n"/>
      <c r="AA185" s="75" t="n"/>
      <c r="AB185" s="66">
        <f>IF(AND(X185&lt;&gt;"",Z185&lt;&gt;""),IFERROR((Z185-X185)*24,""),"")</f>
        <v/>
      </c>
      <c r="AC185" s="71" t="n"/>
      <c r="AD185" s="71" t="n"/>
      <c r="AE185" s="71" t="n"/>
      <c r="AF185" s="71" t="n"/>
      <c r="AG185" s="71" t="n"/>
      <c r="AH185" s="71" t="n"/>
      <c r="AI185" s="71" t="n"/>
      <c r="AJ185" s="73" t="n"/>
      <c r="AK185" s="73" t="n"/>
    </row>
    <row r="186" ht="18" customHeight="1">
      <c r="A186" s="54">
        <f>IF(E186&lt;&gt;"","MUD-"&amp;TEXT(ROW()-3,"000"),"")</f>
        <v/>
      </c>
      <c r="B186" s="55">
        <f>IF(E186&lt;&gt;"",TODAY(),"")</f>
        <v/>
      </c>
      <c r="C186" s="56" t="n"/>
      <c r="D186" s="57" t="n"/>
      <c r="E186" s="58" t="n"/>
      <c r="F186" s="58" t="n"/>
      <c r="G186" s="59" t="n"/>
      <c r="H186" s="58" t="n"/>
      <c r="I186" s="58" t="n"/>
      <c r="J186" s="60" t="n"/>
      <c r="K186" s="59" t="n"/>
      <c r="L186" s="61" t="n"/>
      <c r="M186" s="61" t="n"/>
      <c r="N186" s="62" t="n"/>
      <c r="O186" s="62" t="n"/>
      <c r="P186" s="63">
        <f>IF(N186&lt;&gt;"",N186-O186,"")</f>
        <v/>
      </c>
      <c r="Q186" s="59" t="n"/>
      <c r="R186" s="59" t="n"/>
      <c r="S186" s="59" t="n"/>
      <c r="T186" s="60" t="n"/>
      <c r="U186" s="64">
        <f>IF(E186&lt;&gt;"","MUD-"&amp;TEXT(ROW()-3,"000"),"")</f>
        <v/>
      </c>
      <c r="V186" s="61" t="n"/>
      <c r="W186" s="59" t="n"/>
      <c r="X186" s="57" t="n"/>
      <c r="Y186" s="57" t="n"/>
      <c r="Z186" s="57" t="n"/>
      <c r="AA186" s="65" t="n"/>
      <c r="AB186" s="66">
        <f>IF(AND(X186&lt;&gt;"",Z186&lt;&gt;""),IFERROR((Z186-X186)*24,""),"")</f>
        <v/>
      </c>
      <c r="AC186" s="59" t="n"/>
      <c r="AD186" s="59" t="n"/>
      <c r="AE186" s="59" t="n"/>
      <c r="AF186" s="59" t="n"/>
      <c r="AG186" s="59" t="n"/>
      <c r="AH186" s="59" t="n"/>
      <c r="AI186" s="59" t="n"/>
      <c r="AJ186" s="61" t="n"/>
      <c r="AK186" s="61" t="n"/>
    </row>
    <row r="187" ht="18" customHeight="1">
      <c r="A187" s="54">
        <f>IF(E187&lt;&gt;"","MUD-"&amp;TEXT(ROW()-3,"000"),"")</f>
        <v/>
      </c>
      <c r="B187" s="67">
        <f>IF(E187&lt;&gt;"",TODAY(),"")</f>
        <v/>
      </c>
      <c r="C187" s="68" t="n"/>
      <c r="D187" s="69" t="n"/>
      <c r="E187" s="70" t="n"/>
      <c r="F187" s="70" t="n"/>
      <c r="G187" s="71" t="n"/>
      <c r="H187" s="70" t="n"/>
      <c r="I187" s="70" t="n"/>
      <c r="J187" s="72" t="n"/>
      <c r="K187" s="71" t="n"/>
      <c r="L187" s="73" t="n"/>
      <c r="M187" s="73" t="n"/>
      <c r="N187" s="74" t="n"/>
      <c r="O187" s="74" t="n"/>
      <c r="P187" s="63">
        <f>IF(N187&lt;&gt;"",N187-O187,"")</f>
        <v/>
      </c>
      <c r="Q187" s="71" t="n"/>
      <c r="R187" s="71" t="n"/>
      <c r="S187" s="71" t="n"/>
      <c r="T187" s="72" t="n"/>
      <c r="U187" s="64">
        <f>IF(E187&lt;&gt;"","MUD-"&amp;TEXT(ROW()-3,"000"),"")</f>
        <v/>
      </c>
      <c r="V187" s="73" t="n"/>
      <c r="W187" s="71" t="n"/>
      <c r="X187" s="69" t="n"/>
      <c r="Y187" s="69" t="n"/>
      <c r="Z187" s="69" t="n"/>
      <c r="AA187" s="75" t="n"/>
      <c r="AB187" s="66">
        <f>IF(AND(X187&lt;&gt;"",Z187&lt;&gt;""),IFERROR((Z187-X187)*24,""),"")</f>
        <v/>
      </c>
      <c r="AC187" s="71" t="n"/>
      <c r="AD187" s="71" t="n"/>
      <c r="AE187" s="71" t="n"/>
      <c r="AF187" s="71" t="n"/>
      <c r="AG187" s="71" t="n"/>
      <c r="AH187" s="71" t="n"/>
      <c r="AI187" s="71" t="n"/>
      <c r="AJ187" s="73" t="n"/>
      <c r="AK187" s="73" t="n"/>
    </row>
    <row r="188" ht="18" customHeight="1">
      <c r="A188" s="54">
        <f>IF(E188&lt;&gt;"","MUD-"&amp;TEXT(ROW()-3,"000"),"")</f>
        <v/>
      </c>
      <c r="B188" s="55">
        <f>IF(E188&lt;&gt;"",TODAY(),"")</f>
        <v/>
      </c>
      <c r="C188" s="56" t="n"/>
      <c r="D188" s="57" t="n"/>
      <c r="E188" s="58" t="n"/>
      <c r="F188" s="58" t="n"/>
      <c r="G188" s="59" t="n"/>
      <c r="H188" s="58" t="n"/>
      <c r="I188" s="58" t="n"/>
      <c r="J188" s="60" t="n"/>
      <c r="K188" s="59" t="n"/>
      <c r="L188" s="61" t="n"/>
      <c r="M188" s="61" t="n"/>
      <c r="N188" s="62" t="n"/>
      <c r="O188" s="62" t="n"/>
      <c r="P188" s="63">
        <f>IF(N188&lt;&gt;"",N188-O188,"")</f>
        <v/>
      </c>
      <c r="Q188" s="59" t="n"/>
      <c r="R188" s="59" t="n"/>
      <c r="S188" s="59" t="n"/>
      <c r="T188" s="60" t="n"/>
      <c r="U188" s="64">
        <f>IF(E188&lt;&gt;"","MUD-"&amp;TEXT(ROW()-3,"000"),"")</f>
        <v/>
      </c>
      <c r="V188" s="61" t="n"/>
      <c r="W188" s="59" t="n"/>
      <c r="X188" s="57" t="n"/>
      <c r="Y188" s="57" t="n"/>
      <c r="Z188" s="57" t="n"/>
      <c r="AA188" s="65" t="n"/>
      <c r="AB188" s="66">
        <f>IF(AND(X188&lt;&gt;"",Z188&lt;&gt;""),IFERROR((Z188-X188)*24,""),"")</f>
        <v/>
      </c>
      <c r="AC188" s="59" t="n"/>
      <c r="AD188" s="59" t="n"/>
      <c r="AE188" s="59" t="n"/>
      <c r="AF188" s="59" t="n"/>
      <c r="AG188" s="59" t="n"/>
      <c r="AH188" s="59" t="n"/>
      <c r="AI188" s="59" t="n"/>
      <c r="AJ188" s="61" t="n"/>
      <c r="AK188" s="61" t="n"/>
    </row>
    <row r="189" ht="18" customHeight="1">
      <c r="A189" s="54">
        <f>IF(E189&lt;&gt;"","MUD-"&amp;TEXT(ROW()-3,"000"),"")</f>
        <v/>
      </c>
      <c r="B189" s="67">
        <f>IF(E189&lt;&gt;"",TODAY(),"")</f>
        <v/>
      </c>
      <c r="C189" s="68" t="n"/>
      <c r="D189" s="69" t="n"/>
      <c r="E189" s="70" t="n"/>
      <c r="F189" s="70" t="n"/>
      <c r="G189" s="71" t="n"/>
      <c r="H189" s="70" t="n"/>
      <c r="I189" s="70" t="n"/>
      <c r="J189" s="72" t="n"/>
      <c r="K189" s="71" t="n"/>
      <c r="L189" s="73" t="n"/>
      <c r="M189" s="73" t="n"/>
      <c r="N189" s="74" t="n"/>
      <c r="O189" s="74" t="n"/>
      <c r="P189" s="63">
        <f>IF(N189&lt;&gt;"",N189-O189,"")</f>
        <v/>
      </c>
      <c r="Q189" s="71" t="n"/>
      <c r="R189" s="71" t="n"/>
      <c r="S189" s="71" t="n"/>
      <c r="T189" s="72" t="n"/>
      <c r="U189" s="64">
        <f>IF(E189&lt;&gt;"","MUD-"&amp;TEXT(ROW()-3,"000"),"")</f>
        <v/>
      </c>
      <c r="V189" s="73" t="n"/>
      <c r="W189" s="71" t="n"/>
      <c r="X189" s="69" t="n"/>
      <c r="Y189" s="69" t="n"/>
      <c r="Z189" s="69" t="n"/>
      <c r="AA189" s="75" t="n"/>
      <c r="AB189" s="66">
        <f>IF(AND(X189&lt;&gt;"",Z189&lt;&gt;""),IFERROR((Z189-X189)*24,""),"")</f>
        <v/>
      </c>
      <c r="AC189" s="71" t="n"/>
      <c r="AD189" s="71" t="n"/>
      <c r="AE189" s="71" t="n"/>
      <c r="AF189" s="71" t="n"/>
      <c r="AG189" s="71" t="n"/>
      <c r="AH189" s="71" t="n"/>
      <c r="AI189" s="71" t="n"/>
      <c r="AJ189" s="73" t="n"/>
      <c r="AK189" s="73" t="n"/>
    </row>
    <row r="190" ht="18" customHeight="1">
      <c r="A190" s="54">
        <f>IF(E190&lt;&gt;"","MUD-"&amp;TEXT(ROW()-3,"000"),"")</f>
        <v/>
      </c>
      <c r="B190" s="55">
        <f>IF(E190&lt;&gt;"",TODAY(),"")</f>
        <v/>
      </c>
      <c r="C190" s="56" t="n"/>
      <c r="D190" s="57" t="n"/>
      <c r="E190" s="58" t="n"/>
      <c r="F190" s="58" t="n"/>
      <c r="G190" s="59" t="n"/>
      <c r="H190" s="58" t="n"/>
      <c r="I190" s="58" t="n"/>
      <c r="J190" s="60" t="n"/>
      <c r="K190" s="59" t="n"/>
      <c r="L190" s="61" t="n"/>
      <c r="M190" s="61" t="n"/>
      <c r="N190" s="62" t="n"/>
      <c r="O190" s="62" t="n"/>
      <c r="P190" s="63">
        <f>IF(N190&lt;&gt;"",N190-O190,"")</f>
        <v/>
      </c>
      <c r="Q190" s="59" t="n"/>
      <c r="R190" s="59" t="n"/>
      <c r="S190" s="59" t="n"/>
      <c r="T190" s="60" t="n"/>
      <c r="U190" s="64">
        <f>IF(E190&lt;&gt;"","MUD-"&amp;TEXT(ROW()-3,"000"),"")</f>
        <v/>
      </c>
      <c r="V190" s="61" t="n"/>
      <c r="W190" s="59" t="n"/>
      <c r="X190" s="57" t="n"/>
      <c r="Y190" s="57" t="n"/>
      <c r="Z190" s="57" t="n"/>
      <c r="AA190" s="65" t="n"/>
      <c r="AB190" s="66">
        <f>IF(AND(X190&lt;&gt;"",Z190&lt;&gt;""),IFERROR((Z190-X190)*24,""),"")</f>
        <v/>
      </c>
      <c r="AC190" s="59" t="n"/>
      <c r="AD190" s="59" t="n"/>
      <c r="AE190" s="59" t="n"/>
      <c r="AF190" s="59" t="n"/>
      <c r="AG190" s="59" t="n"/>
      <c r="AH190" s="59" t="n"/>
      <c r="AI190" s="59" t="n"/>
      <c r="AJ190" s="61" t="n"/>
      <c r="AK190" s="61" t="n"/>
    </row>
    <row r="191" ht="18" customHeight="1">
      <c r="A191" s="54">
        <f>IF(E191&lt;&gt;"","MUD-"&amp;TEXT(ROW()-3,"000"),"")</f>
        <v/>
      </c>
      <c r="B191" s="67">
        <f>IF(E191&lt;&gt;"",TODAY(),"")</f>
        <v/>
      </c>
      <c r="C191" s="68" t="n"/>
      <c r="D191" s="69" t="n"/>
      <c r="E191" s="70" t="n"/>
      <c r="F191" s="70" t="n"/>
      <c r="G191" s="71" t="n"/>
      <c r="H191" s="70" t="n"/>
      <c r="I191" s="70" t="n"/>
      <c r="J191" s="72" t="n"/>
      <c r="K191" s="71" t="n"/>
      <c r="L191" s="73" t="n"/>
      <c r="M191" s="73" t="n"/>
      <c r="N191" s="74" t="n"/>
      <c r="O191" s="74" t="n"/>
      <c r="P191" s="63">
        <f>IF(N191&lt;&gt;"",N191-O191,"")</f>
        <v/>
      </c>
      <c r="Q191" s="71" t="n"/>
      <c r="R191" s="71" t="n"/>
      <c r="S191" s="71" t="n"/>
      <c r="T191" s="72" t="n"/>
      <c r="U191" s="64">
        <f>IF(E191&lt;&gt;"","MUD-"&amp;TEXT(ROW()-3,"000"),"")</f>
        <v/>
      </c>
      <c r="V191" s="73" t="n"/>
      <c r="W191" s="71" t="n"/>
      <c r="X191" s="69" t="n"/>
      <c r="Y191" s="69" t="n"/>
      <c r="Z191" s="69" t="n"/>
      <c r="AA191" s="75" t="n"/>
      <c r="AB191" s="66">
        <f>IF(AND(X191&lt;&gt;"",Z191&lt;&gt;""),IFERROR((Z191-X191)*24,""),"")</f>
        <v/>
      </c>
      <c r="AC191" s="71" t="n"/>
      <c r="AD191" s="71" t="n"/>
      <c r="AE191" s="71" t="n"/>
      <c r="AF191" s="71" t="n"/>
      <c r="AG191" s="71" t="n"/>
      <c r="AH191" s="71" t="n"/>
      <c r="AI191" s="71" t="n"/>
      <c r="AJ191" s="73" t="n"/>
      <c r="AK191" s="73" t="n"/>
    </row>
    <row r="192" ht="18" customHeight="1">
      <c r="A192" s="54">
        <f>IF(E192&lt;&gt;"","MUD-"&amp;TEXT(ROW()-3,"000"),"")</f>
        <v/>
      </c>
      <c r="B192" s="55">
        <f>IF(E192&lt;&gt;"",TODAY(),"")</f>
        <v/>
      </c>
      <c r="C192" s="56" t="n"/>
      <c r="D192" s="57" t="n"/>
      <c r="E192" s="58" t="n"/>
      <c r="F192" s="58" t="n"/>
      <c r="G192" s="59" t="n"/>
      <c r="H192" s="58" t="n"/>
      <c r="I192" s="58" t="n"/>
      <c r="J192" s="60" t="n"/>
      <c r="K192" s="59" t="n"/>
      <c r="L192" s="61" t="n"/>
      <c r="M192" s="61" t="n"/>
      <c r="N192" s="62" t="n"/>
      <c r="O192" s="62" t="n"/>
      <c r="P192" s="63">
        <f>IF(N192&lt;&gt;"",N192-O192,"")</f>
        <v/>
      </c>
      <c r="Q192" s="59" t="n"/>
      <c r="R192" s="59" t="n"/>
      <c r="S192" s="59" t="n"/>
      <c r="T192" s="60" t="n"/>
      <c r="U192" s="64">
        <f>IF(E192&lt;&gt;"","MUD-"&amp;TEXT(ROW()-3,"000"),"")</f>
        <v/>
      </c>
      <c r="V192" s="61" t="n"/>
      <c r="W192" s="59" t="n"/>
      <c r="X192" s="57" t="n"/>
      <c r="Y192" s="57" t="n"/>
      <c r="Z192" s="57" t="n"/>
      <c r="AA192" s="65" t="n"/>
      <c r="AB192" s="66">
        <f>IF(AND(X192&lt;&gt;"",Z192&lt;&gt;""),IFERROR((Z192-X192)*24,""),"")</f>
        <v/>
      </c>
      <c r="AC192" s="59" t="n"/>
      <c r="AD192" s="59" t="n"/>
      <c r="AE192" s="59" t="n"/>
      <c r="AF192" s="59" t="n"/>
      <c r="AG192" s="59" t="n"/>
      <c r="AH192" s="59" t="n"/>
      <c r="AI192" s="59" t="n"/>
      <c r="AJ192" s="61" t="n"/>
      <c r="AK192" s="61" t="n"/>
    </row>
    <row r="193" ht="18" customHeight="1">
      <c r="A193" s="54">
        <f>IF(E193&lt;&gt;"","MUD-"&amp;TEXT(ROW()-3,"000"),"")</f>
        <v/>
      </c>
      <c r="B193" s="67">
        <f>IF(E193&lt;&gt;"",TODAY(),"")</f>
        <v/>
      </c>
      <c r="C193" s="68" t="n"/>
      <c r="D193" s="69" t="n"/>
      <c r="E193" s="70" t="n"/>
      <c r="F193" s="70" t="n"/>
      <c r="G193" s="71" t="n"/>
      <c r="H193" s="70" t="n"/>
      <c r="I193" s="70" t="n"/>
      <c r="J193" s="72" t="n"/>
      <c r="K193" s="71" t="n"/>
      <c r="L193" s="73" t="n"/>
      <c r="M193" s="73" t="n"/>
      <c r="N193" s="74" t="n"/>
      <c r="O193" s="74" t="n"/>
      <c r="P193" s="63">
        <f>IF(N193&lt;&gt;"",N193-O193,"")</f>
        <v/>
      </c>
      <c r="Q193" s="71" t="n"/>
      <c r="R193" s="71" t="n"/>
      <c r="S193" s="71" t="n"/>
      <c r="T193" s="72" t="n"/>
      <c r="U193" s="64">
        <f>IF(E193&lt;&gt;"","MUD-"&amp;TEXT(ROW()-3,"000"),"")</f>
        <v/>
      </c>
      <c r="V193" s="73" t="n"/>
      <c r="W193" s="71" t="n"/>
      <c r="X193" s="69" t="n"/>
      <c r="Y193" s="69" t="n"/>
      <c r="Z193" s="69" t="n"/>
      <c r="AA193" s="75" t="n"/>
      <c r="AB193" s="66">
        <f>IF(AND(X193&lt;&gt;"",Z193&lt;&gt;""),IFERROR((Z193-X193)*24,""),"")</f>
        <v/>
      </c>
      <c r="AC193" s="71" t="n"/>
      <c r="AD193" s="71" t="n"/>
      <c r="AE193" s="71" t="n"/>
      <c r="AF193" s="71" t="n"/>
      <c r="AG193" s="71" t="n"/>
      <c r="AH193" s="71" t="n"/>
      <c r="AI193" s="71" t="n"/>
      <c r="AJ193" s="73" t="n"/>
      <c r="AK193" s="73" t="n"/>
    </row>
    <row r="194" ht="18" customHeight="1">
      <c r="A194" s="54">
        <f>IF(E194&lt;&gt;"","MUD-"&amp;TEXT(ROW()-3,"000"),"")</f>
        <v/>
      </c>
      <c r="B194" s="55">
        <f>IF(E194&lt;&gt;"",TODAY(),"")</f>
        <v/>
      </c>
      <c r="C194" s="56" t="n"/>
      <c r="D194" s="57" t="n"/>
      <c r="E194" s="58" t="n"/>
      <c r="F194" s="58" t="n"/>
      <c r="G194" s="59" t="n"/>
      <c r="H194" s="58" t="n"/>
      <c r="I194" s="58" t="n"/>
      <c r="J194" s="60" t="n"/>
      <c r="K194" s="59" t="n"/>
      <c r="L194" s="61" t="n"/>
      <c r="M194" s="61" t="n"/>
      <c r="N194" s="62" t="n"/>
      <c r="O194" s="62" t="n"/>
      <c r="P194" s="63">
        <f>IF(N194&lt;&gt;"",N194-O194,"")</f>
        <v/>
      </c>
      <c r="Q194" s="59" t="n"/>
      <c r="R194" s="59" t="n"/>
      <c r="S194" s="59" t="n"/>
      <c r="T194" s="60" t="n"/>
      <c r="U194" s="64">
        <f>IF(E194&lt;&gt;"","MUD-"&amp;TEXT(ROW()-3,"000"),"")</f>
        <v/>
      </c>
      <c r="V194" s="61" t="n"/>
      <c r="W194" s="59" t="n"/>
      <c r="X194" s="57" t="n"/>
      <c r="Y194" s="57" t="n"/>
      <c r="Z194" s="57" t="n"/>
      <c r="AA194" s="65" t="n"/>
      <c r="AB194" s="66">
        <f>IF(AND(X194&lt;&gt;"",Z194&lt;&gt;""),IFERROR((Z194-X194)*24,""),"")</f>
        <v/>
      </c>
      <c r="AC194" s="59" t="n"/>
      <c r="AD194" s="59" t="n"/>
      <c r="AE194" s="59" t="n"/>
      <c r="AF194" s="59" t="n"/>
      <c r="AG194" s="59" t="n"/>
      <c r="AH194" s="59" t="n"/>
      <c r="AI194" s="59" t="n"/>
      <c r="AJ194" s="61" t="n"/>
      <c r="AK194" s="61" t="n"/>
    </row>
    <row r="195" ht="18" customHeight="1">
      <c r="A195" s="54">
        <f>IF(E195&lt;&gt;"","MUD-"&amp;TEXT(ROW()-3,"000"),"")</f>
        <v/>
      </c>
      <c r="B195" s="67">
        <f>IF(E195&lt;&gt;"",TODAY(),"")</f>
        <v/>
      </c>
      <c r="C195" s="68" t="n"/>
      <c r="D195" s="69" t="n"/>
      <c r="E195" s="70" t="n"/>
      <c r="F195" s="70" t="n"/>
      <c r="G195" s="71" t="n"/>
      <c r="H195" s="70" t="n"/>
      <c r="I195" s="70" t="n"/>
      <c r="J195" s="72" t="n"/>
      <c r="K195" s="71" t="n"/>
      <c r="L195" s="73" t="n"/>
      <c r="M195" s="73" t="n"/>
      <c r="N195" s="74" t="n"/>
      <c r="O195" s="74" t="n"/>
      <c r="P195" s="63">
        <f>IF(N195&lt;&gt;"",N195-O195,"")</f>
        <v/>
      </c>
      <c r="Q195" s="71" t="n"/>
      <c r="R195" s="71" t="n"/>
      <c r="S195" s="71" t="n"/>
      <c r="T195" s="72" t="n"/>
      <c r="U195" s="64">
        <f>IF(E195&lt;&gt;"","MUD-"&amp;TEXT(ROW()-3,"000"),"")</f>
        <v/>
      </c>
      <c r="V195" s="73" t="n"/>
      <c r="W195" s="71" t="n"/>
      <c r="X195" s="69" t="n"/>
      <c r="Y195" s="69" t="n"/>
      <c r="Z195" s="69" t="n"/>
      <c r="AA195" s="75" t="n"/>
      <c r="AB195" s="66">
        <f>IF(AND(X195&lt;&gt;"",Z195&lt;&gt;""),IFERROR((Z195-X195)*24,""),"")</f>
        <v/>
      </c>
      <c r="AC195" s="71" t="n"/>
      <c r="AD195" s="71" t="n"/>
      <c r="AE195" s="71" t="n"/>
      <c r="AF195" s="71" t="n"/>
      <c r="AG195" s="71" t="n"/>
      <c r="AH195" s="71" t="n"/>
      <c r="AI195" s="71" t="n"/>
      <c r="AJ195" s="73" t="n"/>
      <c r="AK195" s="73" t="n"/>
    </row>
    <row r="196" ht="18" customHeight="1">
      <c r="A196" s="54">
        <f>IF(E196&lt;&gt;"","MUD-"&amp;TEXT(ROW()-3,"000"),"")</f>
        <v/>
      </c>
      <c r="B196" s="55">
        <f>IF(E196&lt;&gt;"",TODAY(),"")</f>
        <v/>
      </c>
      <c r="C196" s="56" t="n"/>
      <c r="D196" s="57" t="n"/>
      <c r="E196" s="58" t="n"/>
      <c r="F196" s="58" t="n"/>
      <c r="G196" s="59" t="n"/>
      <c r="H196" s="58" t="n"/>
      <c r="I196" s="58" t="n"/>
      <c r="J196" s="60" t="n"/>
      <c r="K196" s="59" t="n"/>
      <c r="L196" s="61" t="n"/>
      <c r="M196" s="61" t="n"/>
      <c r="N196" s="62" t="n"/>
      <c r="O196" s="62" t="n"/>
      <c r="P196" s="63">
        <f>IF(N196&lt;&gt;"",N196-O196,"")</f>
        <v/>
      </c>
      <c r="Q196" s="59" t="n"/>
      <c r="R196" s="59" t="n"/>
      <c r="S196" s="59" t="n"/>
      <c r="T196" s="60" t="n"/>
      <c r="U196" s="64">
        <f>IF(E196&lt;&gt;"","MUD-"&amp;TEXT(ROW()-3,"000"),"")</f>
        <v/>
      </c>
      <c r="V196" s="61" t="n"/>
      <c r="W196" s="59" t="n"/>
      <c r="X196" s="57" t="n"/>
      <c r="Y196" s="57" t="n"/>
      <c r="Z196" s="57" t="n"/>
      <c r="AA196" s="65" t="n"/>
      <c r="AB196" s="66">
        <f>IF(AND(X196&lt;&gt;"",Z196&lt;&gt;""),IFERROR((Z196-X196)*24,""),"")</f>
        <v/>
      </c>
      <c r="AC196" s="59" t="n"/>
      <c r="AD196" s="59" t="n"/>
      <c r="AE196" s="59" t="n"/>
      <c r="AF196" s="59" t="n"/>
      <c r="AG196" s="59" t="n"/>
      <c r="AH196" s="59" t="n"/>
      <c r="AI196" s="59" t="n"/>
      <c r="AJ196" s="61" t="n"/>
      <c r="AK196" s="61" t="n"/>
    </row>
    <row r="197" ht="18" customHeight="1">
      <c r="A197" s="54">
        <f>IF(E197&lt;&gt;"","MUD-"&amp;TEXT(ROW()-3,"000"),"")</f>
        <v/>
      </c>
      <c r="B197" s="67">
        <f>IF(E197&lt;&gt;"",TODAY(),"")</f>
        <v/>
      </c>
      <c r="C197" s="68" t="n"/>
      <c r="D197" s="69" t="n"/>
      <c r="E197" s="70" t="n"/>
      <c r="F197" s="70" t="n"/>
      <c r="G197" s="71" t="n"/>
      <c r="H197" s="70" t="n"/>
      <c r="I197" s="70" t="n"/>
      <c r="J197" s="72" t="n"/>
      <c r="K197" s="71" t="n"/>
      <c r="L197" s="73" t="n"/>
      <c r="M197" s="73" t="n"/>
      <c r="N197" s="74" t="n"/>
      <c r="O197" s="74" t="n"/>
      <c r="P197" s="63">
        <f>IF(N197&lt;&gt;"",N197-O197,"")</f>
        <v/>
      </c>
      <c r="Q197" s="71" t="n"/>
      <c r="R197" s="71" t="n"/>
      <c r="S197" s="71" t="n"/>
      <c r="T197" s="72" t="n"/>
      <c r="U197" s="64">
        <f>IF(E197&lt;&gt;"","MUD-"&amp;TEXT(ROW()-3,"000"),"")</f>
        <v/>
      </c>
      <c r="V197" s="73" t="n"/>
      <c r="W197" s="71" t="n"/>
      <c r="X197" s="69" t="n"/>
      <c r="Y197" s="69" t="n"/>
      <c r="Z197" s="69" t="n"/>
      <c r="AA197" s="75" t="n"/>
      <c r="AB197" s="66">
        <f>IF(AND(X197&lt;&gt;"",Z197&lt;&gt;""),IFERROR((Z197-X197)*24,""),"")</f>
        <v/>
      </c>
      <c r="AC197" s="71" t="n"/>
      <c r="AD197" s="71" t="n"/>
      <c r="AE197" s="71" t="n"/>
      <c r="AF197" s="71" t="n"/>
      <c r="AG197" s="71" t="n"/>
      <c r="AH197" s="71" t="n"/>
      <c r="AI197" s="71" t="n"/>
      <c r="AJ197" s="73" t="n"/>
      <c r="AK197" s="73" t="n"/>
    </row>
    <row r="198" ht="18" customHeight="1">
      <c r="A198" s="54">
        <f>IF(E198&lt;&gt;"","MUD-"&amp;TEXT(ROW()-3,"000"),"")</f>
        <v/>
      </c>
      <c r="B198" s="55">
        <f>IF(E198&lt;&gt;"",TODAY(),"")</f>
        <v/>
      </c>
      <c r="C198" s="56" t="n"/>
      <c r="D198" s="57" t="n"/>
      <c r="E198" s="58" t="n"/>
      <c r="F198" s="58" t="n"/>
      <c r="G198" s="59" t="n"/>
      <c r="H198" s="58" t="n"/>
      <c r="I198" s="58" t="n"/>
      <c r="J198" s="60" t="n"/>
      <c r="K198" s="59" t="n"/>
      <c r="L198" s="61" t="n"/>
      <c r="M198" s="61" t="n"/>
      <c r="N198" s="62" t="n"/>
      <c r="O198" s="62" t="n"/>
      <c r="P198" s="63">
        <f>IF(N198&lt;&gt;"",N198-O198,"")</f>
        <v/>
      </c>
      <c r="Q198" s="59" t="n"/>
      <c r="R198" s="59" t="n"/>
      <c r="S198" s="59" t="n"/>
      <c r="T198" s="60" t="n"/>
      <c r="U198" s="64">
        <f>IF(E198&lt;&gt;"","MUD-"&amp;TEXT(ROW()-3,"000"),"")</f>
        <v/>
      </c>
      <c r="V198" s="61" t="n"/>
      <c r="W198" s="59" t="n"/>
      <c r="X198" s="57" t="n"/>
      <c r="Y198" s="57" t="n"/>
      <c r="Z198" s="57" t="n"/>
      <c r="AA198" s="65" t="n"/>
      <c r="AB198" s="66">
        <f>IF(AND(X198&lt;&gt;"",Z198&lt;&gt;""),IFERROR((Z198-X198)*24,""),"")</f>
        <v/>
      </c>
      <c r="AC198" s="59" t="n"/>
      <c r="AD198" s="59" t="n"/>
      <c r="AE198" s="59" t="n"/>
      <c r="AF198" s="59" t="n"/>
      <c r="AG198" s="59" t="n"/>
      <c r="AH198" s="59" t="n"/>
      <c r="AI198" s="59" t="n"/>
      <c r="AJ198" s="61" t="n"/>
      <c r="AK198" s="61" t="n"/>
    </row>
    <row r="199" ht="18" customHeight="1">
      <c r="A199" s="54">
        <f>IF(E199&lt;&gt;"","MUD-"&amp;TEXT(ROW()-3,"000"),"")</f>
        <v/>
      </c>
      <c r="B199" s="67">
        <f>IF(E199&lt;&gt;"",TODAY(),"")</f>
        <v/>
      </c>
      <c r="C199" s="68" t="n"/>
      <c r="D199" s="69" t="n"/>
      <c r="E199" s="70" t="n"/>
      <c r="F199" s="70" t="n"/>
      <c r="G199" s="71" t="n"/>
      <c r="H199" s="70" t="n"/>
      <c r="I199" s="70" t="n"/>
      <c r="J199" s="72" t="n"/>
      <c r="K199" s="71" t="n"/>
      <c r="L199" s="73" t="n"/>
      <c r="M199" s="73" t="n"/>
      <c r="N199" s="74" t="n"/>
      <c r="O199" s="74" t="n"/>
      <c r="P199" s="63">
        <f>IF(N199&lt;&gt;"",N199-O199,"")</f>
        <v/>
      </c>
      <c r="Q199" s="71" t="n"/>
      <c r="R199" s="71" t="n"/>
      <c r="S199" s="71" t="n"/>
      <c r="T199" s="72" t="n"/>
      <c r="U199" s="64">
        <f>IF(E199&lt;&gt;"","MUD-"&amp;TEXT(ROW()-3,"000"),"")</f>
        <v/>
      </c>
      <c r="V199" s="73" t="n"/>
      <c r="W199" s="71" t="n"/>
      <c r="X199" s="69" t="n"/>
      <c r="Y199" s="69" t="n"/>
      <c r="Z199" s="69" t="n"/>
      <c r="AA199" s="75" t="n"/>
      <c r="AB199" s="66">
        <f>IF(AND(X199&lt;&gt;"",Z199&lt;&gt;""),IFERROR((Z199-X199)*24,""),"")</f>
        <v/>
      </c>
      <c r="AC199" s="71" t="n"/>
      <c r="AD199" s="71" t="n"/>
      <c r="AE199" s="71" t="n"/>
      <c r="AF199" s="71" t="n"/>
      <c r="AG199" s="71" t="n"/>
      <c r="AH199" s="71" t="n"/>
      <c r="AI199" s="71" t="n"/>
      <c r="AJ199" s="73" t="n"/>
      <c r="AK199" s="73" t="n"/>
    </row>
    <row r="200" ht="18" customHeight="1">
      <c r="A200" s="54">
        <f>IF(E200&lt;&gt;"","MUD-"&amp;TEXT(ROW()-3,"000"),"")</f>
        <v/>
      </c>
      <c r="B200" s="55">
        <f>IF(E200&lt;&gt;"",TODAY(),"")</f>
        <v/>
      </c>
      <c r="C200" s="56" t="n"/>
      <c r="D200" s="57" t="n"/>
      <c r="E200" s="58" t="n"/>
      <c r="F200" s="58" t="n"/>
      <c r="G200" s="59" t="n"/>
      <c r="H200" s="58" t="n"/>
      <c r="I200" s="58" t="n"/>
      <c r="J200" s="60" t="n"/>
      <c r="K200" s="59" t="n"/>
      <c r="L200" s="61" t="n"/>
      <c r="M200" s="61" t="n"/>
      <c r="N200" s="62" t="n"/>
      <c r="O200" s="62" t="n"/>
      <c r="P200" s="63">
        <f>IF(N200&lt;&gt;"",N200-O200,"")</f>
        <v/>
      </c>
      <c r="Q200" s="59" t="n"/>
      <c r="R200" s="59" t="n"/>
      <c r="S200" s="59" t="n"/>
      <c r="T200" s="60" t="n"/>
      <c r="U200" s="64">
        <f>IF(E200&lt;&gt;"","MUD-"&amp;TEXT(ROW()-3,"000"),"")</f>
        <v/>
      </c>
      <c r="V200" s="61" t="n"/>
      <c r="W200" s="59" t="n"/>
      <c r="X200" s="57" t="n"/>
      <c r="Y200" s="57" t="n"/>
      <c r="Z200" s="57" t="n"/>
      <c r="AA200" s="65" t="n"/>
      <c r="AB200" s="66">
        <f>IF(AND(X200&lt;&gt;"",Z200&lt;&gt;""),IFERROR((Z200-X200)*24,""),"")</f>
        <v/>
      </c>
      <c r="AC200" s="59" t="n"/>
      <c r="AD200" s="59" t="n"/>
      <c r="AE200" s="59" t="n"/>
      <c r="AF200" s="59" t="n"/>
      <c r="AG200" s="59" t="n"/>
      <c r="AH200" s="59" t="n"/>
      <c r="AI200" s="59" t="n"/>
      <c r="AJ200" s="61" t="n"/>
      <c r="AK200" s="61" t="n"/>
    </row>
    <row r="201" ht="18" customHeight="1">
      <c r="A201" s="54">
        <f>IF(E201&lt;&gt;"","MUD-"&amp;TEXT(ROW()-3,"000"),"")</f>
        <v/>
      </c>
      <c r="B201" s="67">
        <f>IF(E201&lt;&gt;"",TODAY(),"")</f>
        <v/>
      </c>
      <c r="C201" s="68" t="n"/>
      <c r="D201" s="69" t="n"/>
      <c r="E201" s="70" t="n"/>
      <c r="F201" s="70" t="n"/>
      <c r="G201" s="71" t="n"/>
      <c r="H201" s="70" t="n"/>
      <c r="I201" s="70" t="n"/>
      <c r="J201" s="72" t="n"/>
      <c r="K201" s="71" t="n"/>
      <c r="L201" s="73" t="n"/>
      <c r="M201" s="73" t="n"/>
      <c r="N201" s="74" t="n"/>
      <c r="O201" s="74" t="n"/>
      <c r="P201" s="63">
        <f>IF(N201&lt;&gt;"",N201-O201,"")</f>
        <v/>
      </c>
      <c r="Q201" s="71" t="n"/>
      <c r="R201" s="71" t="n"/>
      <c r="S201" s="71" t="n"/>
      <c r="T201" s="72" t="n"/>
      <c r="U201" s="64">
        <f>IF(E201&lt;&gt;"","MUD-"&amp;TEXT(ROW()-3,"000"),"")</f>
        <v/>
      </c>
      <c r="V201" s="73" t="n"/>
      <c r="W201" s="71" t="n"/>
      <c r="X201" s="69" t="n"/>
      <c r="Y201" s="69" t="n"/>
      <c r="Z201" s="69" t="n"/>
      <c r="AA201" s="75" t="n"/>
      <c r="AB201" s="66">
        <f>IF(AND(X201&lt;&gt;"",Z201&lt;&gt;""),IFERROR((Z201-X201)*24,""),"")</f>
        <v/>
      </c>
      <c r="AC201" s="71" t="n"/>
      <c r="AD201" s="71" t="n"/>
      <c r="AE201" s="71" t="n"/>
      <c r="AF201" s="71" t="n"/>
      <c r="AG201" s="71" t="n"/>
      <c r="AH201" s="71" t="n"/>
      <c r="AI201" s="71" t="n"/>
      <c r="AJ201" s="73" t="n"/>
      <c r="AK201" s="73" t="n"/>
    </row>
    <row r="202" ht="18" customHeight="1">
      <c r="A202" s="54">
        <f>IF(E202&lt;&gt;"","MUD-"&amp;TEXT(ROW()-3,"000"),"")</f>
        <v/>
      </c>
      <c r="B202" s="55">
        <f>IF(E202&lt;&gt;"",TODAY(),"")</f>
        <v/>
      </c>
      <c r="C202" s="56" t="n"/>
      <c r="D202" s="57" t="n"/>
      <c r="E202" s="58" t="n"/>
      <c r="F202" s="58" t="n"/>
      <c r="G202" s="59" t="n"/>
      <c r="H202" s="58" t="n"/>
      <c r="I202" s="58" t="n"/>
      <c r="J202" s="60" t="n"/>
      <c r="K202" s="59" t="n"/>
      <c r="L202" s="61" t="n"/>
      <c r="M202" s="61" t="n"/>
      <c r="N202" s="62" t="n"/>
      <c r="O202" s="62" t="n"/>
      <c r="P202" s="63">
        <f>IF(N202&lt;&gt;"",N202-O202,"")</f>
        <v/>
      </c>
      <c r="Q202" s="59" t="n"/>
      <c r="R202" s="59" t="n"/>
      <c r="S202" s="59" t="n"/>
      <c r="T202" s="60" t="n"/>
      <c r="U202" s="64">
        <f>IF(E202&lt;&gt;"","MUD-"&amp;TEXT(ROW()-3,"000"),"")</f>
        <v/>
      </c>
      <c r="V202" s="61" t="n"/>
      <c r="W202" s="59" t="n"/>
      <c r="X202" s="57" t="n"/>
      <c r="Y202" s="57" t="n"/>
      <c r="Z202" s="57" t="n"/>
      <c r="AA202" s="65" t="n"/>
      <c r="AB202" s="66">
        <f>IF(AND(X202&lt;&gt;"",Z202&lt;&gt;""),IFERROR((Z202-X202)*24,""),"")</f>
        <v/>
      </c>
      <c r="AC202" s="59" t="n"/>
      <c r="AD202" s="59" t="n"/>
      <c r="AE202" s="59" t="n"/>
      <c r="AF202" s="59" t="n"/>
      <c r="AG202" s="59" t="n"/>
      <c r="AH202" s="59" t="n"/>
      <c r="AI202" s="59" t="n"/>
      <c r="AJ202" s="61" t="n"/>
      <c r="AK202" s="61" t="n"/>
    </row>
    <row r="203" ht="18" customHeight="1">
      <c r="A203" s="54">
        <f>IF(E203&lt;&gt;"","MUD-"&amp;TEXT(ROW()-3,"000"),"")</f>
        <v/>
      </c>
      <c r="B203" s="67">
        <f>IF(E203&lt;&gt;"",TODAY(),"")</f>
        <v/>
      </c>
      <c r="C203" s="68" t="n"/>
      <c r="D203" s="69" t="n"/>
      <c r="E203" s="70" t="n"/>
      <c r="F203" s="70" t="n"/>
      <c r="G203" s="71" t="n"/>
      <c r="H203" s="70" t="n"/>
      <c r="I203" s="70" t="n"/>
      <c r="J203" s="72" t="n"/>
      <c r="K203" s="71" t="n"/>
      <c r="L203" s="73" t="n"/>
      <c r="M203" s="73" t="n"/>
      <c r="N203" s="74" t="n"/>
      <c r="O203" s="74" t="n"/>
      <c r="P203" s="63">
        <f>IF(N203&lt;&gt;"",N203-O203,"")</f>
        <v/>
      </c>
      <c r="Q203" s="71" t="n"/>
      <c r="R203" s="71" t="n"/>
      <c r="S203" s="71" t="n"/>
      <c r="T203" s="72" t="n"/>
      <c r="U203" s="64">
        <f>IF(E203&lt;&gt;"","MUD-"&amp;TEXT(ROW()-3,"000"),"")</f>
        <v/>
      </c>
      <c r="V203" s="73" t="n"/>
      <c r="W203" s="71" t="n"/>
      <c r="X203" s="69" t="n"/>
      <c r="Y203" s="69" t="n"/>
      <c r="Z203" s="69" t="n"/>
      <c r="AA203" s="75" t="n"/>
      <c r="AB203" s="66">
        <f>IF(AND(X203&lt;&gt;"",Z203&lt;&gt;""),IFERROR((Z203-X203)*24,""),"")</f>
        <v/>
      </c>
      <c r="AC203" s="71" t="n"/>
      <c r="AD203" s="71" t="n"/>
      <c r="AE203" s="71" t="n"/>
      <c r="AF203" s="71" t="n"/>
      <c r="AG203" s="71" t="n"/>
      <c r="AH203" s="71" t="n"/>
      <c r="AI203" s="71" t="n"/>
      <c r="AJ203" s="73" t="n"/>
      <c r="AK203" s="73" t="n"/>
    </row>
  </sheetData>
  <mergeCells count="2">
    <mergeCell ref="A1:AK1"/>
    <mergeCell ref="A2:AK2"/>
  </mergeCells>
  <conditionalFormatting sqref="Q4:Q203">
    <cfRule type="cellIs" priority="1" operator="equal" dxfId="0">
      <formula>"Terminado"</formula>
    </cfRule>
    <cfRule type="cellIs" priority="2" operator="equal" dxfId="1">
      <formula>"Cancelado"</formula>
    </cfRule>
    <cfRule type="cellIs" priority="3" operator="equal" dxfId="2">
      <formula>"En proceso"</formula>
    </cfRule>
    <cfRule type="cellIs" priority="4" operator="equal" dxfId="3">
      <formula>"Confirmado"</formula>
    </cfRule>
  </conditionalFormatting>
  <conditionalFormatting sqref="W4:W203">
    <cfRule type="cellIs" priority="5" operator="equal" dxfId="1">
      <formula>"Alta"</formula>
    </cfRule>
    <cfRule type="cellIs" priority="6" operator="equal" dxfId="2">
      <formula>"Media"</formula>
    </cfRule>
    <cfRule type="cellIs" priority="7" operator="equal" dxfId="0">
      <formula>"Baja"</formula>
    </cfRule>
  </conditionalFormatting>
  <dataValidations count="13">
    <dataValidation sqref="G4:G203" showDropDown="0" showInputMessage="0" showErrorMessage="0" allowBlank="1" type="list">
      <formula1>"Mudanza local,Flete,Renta de unidad,Foráneo,Maniobra especial"</formula1>
    </dataValidation>
    <dataValidation sqref="K4:K203" showDropDown="0" showInputMessage="0" showErrorMessage="0" allowBlank="1" type="list">
      <formula1>"Pick Up,1.5 Cerrada,2.5,3.5,Varias unidades"</formula1>
    </dataValidation>
    <dataValidation sqref="Q4:Q203" showDropDown="0" showInputMessage="0" showErrorMessage="0" allowBlank="1" type="list">
      <formula1>"Pendiente,Confirmado,En proceso,Terminado,Cancelado"</formula1>
    </dataValidation>
    <dataValidation sqref="R4:R203" showDropDown="0" showInputMessage="0" showErrorMessage="0" allowBlank="1" type="list">
      <formula1>"Efectivo,Transferencia,Tarjeta,Mixto"</formula1>
    </dataValidation>
    <dataValidation sqref="S4:S203" showDropDown="0" showInputMessage="0" showErrorMessage="0" allowBlank="1" type="list">
      <formula1>"Sí,No"</formula1>
    </dataValidation>
    <dataValidation sqref="W4:W203" showDropDown="0" showInputMessage="0" showErrorMessage="0" allowBlank="1" type="list">
      <formula1>"Alta,Media,Baja"</formula1>
    </dataValidation>
    <dataValidation sqref="AC4:AC203" showDropDown="0" showInputMessage="0" showErrorMessage="0" allowBlank="1" type="list">
      <formula1>"Sí,No"</formula1>
    </dataValidation>
    <dataValidation sqref="AD4:AD203" showDropDown="0" showInputMessage="0" showErrorMessage="0" allowBlank="1" type="list">
      <formula1>"Sí,No"</formula1>
    </dataValidation>
    <dataValidation sqref="AE4:AE203" showDropDown="0" showInputMessage="0" showErrorMessage="0" allowBlank="1" type="list">
      <formula1>"Sí,No"</formula1>
    </dataValidation>
    <dataValidation sqref="AF4:AF203" showDropDown="0" showInputMessage="0" showErrorMessage="0" allowBlank="1" type="list">
      <formula1>"Sí,No"</formula1>
    </dataValidation>
    <dataValidation sqref="AG4:AG203" showDropDown="0" showInputMessage="0" showErrorMessage="0" allowBlank="1" type="list">
      <formula1>"Sí,No"</formula1>
    </dataValidation>
    <dataValidation sqref="AH4:AH203" showDropDown="0" showInputMessage="0" showErrorMessage="0" allowBlank="1" type="list">
      <formula1>"Saleads,Facebook,Google,TikTok,WhatsApp,Recomendación,Cliente recurrente,Otro"</formula1>
    </dataValidation>
    <dataValidation sqref="AI4:AI203" showDropDown="0" showInputMessage="0" showErrorMessage="0" allowBlank="1" type="list">
      <formula1>"Particular,Empresa,Recurrente,VIP"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8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3" customWidth="1" min="16" max="16"/>
    <col width="14" customWidth="1" min="17" max="17"/>
    <col width="12" customWidth="1" min="18" max="18"/>
    <col width="10" customWidth="1" min="19" max="19"/>
    <col width="22" customWidth="1" min="20" max="20"/>
  </cols>
  <sheetData>
    <row r="1" ht="35" customHeight="1">
      <c r="A1" s="76" t="inlineStr">
        <is>
          <t>MUDANZAS METEPEC — COSTOS DEL SERVICIO</t>
        </is>
      </c>
    </row>
    <row r="2" ht="22" customHeight="1">
      <c r="A2" s="77" t="inlineStr">
        <is>
          <t>Conectado por Folio con Agenda  |  Costo $7/km Pick Up · $9/km 1.5C · $10/km 2.5 · $12/km 3.5</t>
        </is>
      </c>
    </row>
    <row r="3" ht="30" customHeight="1">
      <c r="A3" s="78" t="inlineStr">
        <is>
          <t>FOLIO</t>
        </is>
      </c>
      <c r="B3" s="78" t="inlineStr">
        <is>
          <t>CLIENTE</t>
        </is>
      </c>
      <c r="C3" s="78" t="inlineStr">
        <is>
          <t>UNIDAD</t>
        </is>
      </c>
      <c r="D3" s="78" t="inlineStr">
        <is>
          <t>KM REALES</t>
        </is>
      </c>
      <c r="E3" s="78" t="inlineStr">
        <is>
          <t>$/KM</t>
        </is>
      </c>
      <c r="F3" s="78" t="inlineStr">
        <is>
          <t>COSTO UNIDAD</t>
        </is>
      </c>
      <c r="G3" s="78" t="inlineStr">
        <is>
          <t>CHOFER</t>
        </is>
      </c>
      <c r="H3" s="78" t="inlineStr">
        <is>
          <t>AYUDANTES</t>
        </is>
      </c>
      <c r="I3" s="78" t="inlineStr">
        <is>
          <t>MANIOBRAS</t>
        </is>
      </c>
      <c r="J3" s="78" t="inlineStr">
        <is>
          <t>CASETAS</t>
        </is>
      </c>
      <c r="K3" s="78" t="inlineStr">
        <is>
          <t>COMIDAS</t>
        </is>
      </c>
      <c r="L3" s="78" t="inlineStr">
        <is>
          <t>HOTELES</t>
        </is>
      </c>
      <c r="M3" s="78" t="inlineStr">
        <is>
          <t>GASOLINA+</t>
        </is>
      </c>
      <c r="N3" s="78" t="inlineStr">
        <is>
          <t>MATERIALES</t>
        </is>
      </c>
      <c r="O3" s="78" t="inlineStr">
        <is>
          <t>OTROS</t>
        </is>
      </c>
      <c r="P3" s="78" t="inlineStr">
        <is>
          <t>TOTAL GASTOS</t>
        </is>
      </c>
      <c r="Q3" s="78" t="inlineStr">
        <is>
          <t>PRECIO COBRADO</t>
        </is>
      </c>
      <c r="R3" s="78" t="inlineStr">
        <is>
          <t>UTILIDAD</t>
        </is>
      </c>
      <c r="S3" s="78" t="inlineStr">
        <is>
          <t>MARGEN %</t>
        </is>
      </c>
      <c r="T3" s="78" t="inlineStr">
        <is>
          <t>NOTAS</t>
        </is>
      </c>
    </row>
    <row r="4" ht="18" customHeight="1">
      <c r="A4" s="54" t="n"/>
      <c r="B4" s="58">
        <f>IF(A4&lt;&gt;"",IFERROR(VLOOKUP(A4,Agenda!A:E,5,0),"—"),"")</f>
        <v/>
      </c>
      <c r="C4" s="59">
        <f>IF(A4&lt;&gt;"",IFERROR(VLOOKUP(A4,Agenda!A:K,11,0),"—"),"")</f>
        <v/>
      </c>
      <c r="D4" s="79" t="n"/>
      <c r="E4" s="80">
        <f>IF(A4&lt;&gt;"",IF(C4="Pick Up",7,IF(C4="1.5 Cerrada",9,IF(C4="2.5",10,IF(C4="3.5",12,0)))),"")</f>
        <v/>
      </c>
      <c r="F4" s="28">
        <f>IF(AND(D4&lt;&gt;"",E4&lt;&gt;""),D4*E4,"")</f>
        <v/>
      </c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81">
        <f>IF(A4&lt;&gt;"",IFERROR(F4+G4+H4+I4+J4+K4+L4+M4+N4+O4,0),"")</f>
        <v/>
      </c>
      <c r="Q4" s="62">
        <f>IF(A4&lt;&gt;"",IFERROR(VLOOKUP(A4,Agenda!A:N,14,0),0),"")</f>
        <v/>
      </c>
      <c r="R4" s="28">
        <f>IF(A4&lt;&gt;"",Q4-P4,"")</f>
        <v/>
      </c>
      <c r="S4" s="82">
        <f>IF(AND(A4&lt;&gt;"",Q4&lt;&gt;0),R4/Q4*100,"")</f>
        <v/>
      </c>
      <c r="T4" s="61" t="n"/>
    </row>
    <row r="5" ht="18" customHeight="1">
      <c r="A5" s="54" t="n"/>
      <c r="B5" s="70">
        <f>IF(A5&lt;&gt;"",IFERROR(VLOOKUP(A5,Agenda!A:E,5,0),"—"),"")</f>
        <v/>
      </c>
      <c r="C5" s="71">
        <f>IF(A5&lt;&gt;"",IFERROR(VLOOKUP(A5,Agenda!A:K,11,0),"—"),"")</f>
        <v/>
      </c>
      <c r="D5" s="83" t="n"/>
      <c r="E5" s="80">
        <f>IF(A5&lt;&gt;"",IF(C5="Pick Up",7,IF(C5="1.5 Cerrada",9,IF(C5="2.5",10,IF(C5="3.5",12,0)))),"")</f>
        <v/>
      </c>
      <c r="F5" s="28">
        <f>IF(AND(D5&lt;&gt;"",E5&lt;&gt;""),D5*E5,"")</f>
        <v/>
      </c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81">
        <f>IF(A5&lt;&gt;"",IFERROR(F5+G5+H5+I5+J5+K5+L5+M5+N5+O5,0),"")</f>
        <v/>
      </c>
      <c r="Q5" s="74">
        <f>IF(A5&lt;&gt;"",IFERROR(VLOOKUP(A5,Agenda!A:N,14,0),0),"")</f>
        <v/>
      </c>
      <c r="R5" s="28">
        <f>IF(A5&lt;&gt;"",Q5-P5,"")</f>
        <v/>
      </c>
      <c r="S5" s="84">
        <f>IF(AND(A5&lt;&gt;"",Q5&lt;&gt;0),R5/Q5*100,"")</f>
        <v/>
      </c>
      <c r="T5" s="73" t="n"/>
      <c r="V5" s="85" t="inlineStr">
        <is>
          <t>Tabla $/km</t>
        </is>
      </c>
    </row>
    <row r="6" ht="18" customHeight="1">
      <c r="A6" s="54" t="n"/>
      <c r="B6" s="58">
        <f>IF(A6&lt;&gt;"",IFERROR(VLOOKUP(A6,Agenda!A:E,5,0),"—"),"")</f>
        <v/>
      </c>
      <c r="C6" s="59">
        <f>IF(A6&lt;&gt;"",IFERROR(VLOOKUP(A6,Agenda!A:K,11,0),"—"),"")</f>
        <v/>
      </c>
      <c r="D6" s="79" t="n"/>
      <c r="E6" s="80">
        <f>IF(A6&lt;&gt;"",IF(C6="Pick Up",7,IF(C6="1.5 Cerrada",9,IF(C6="2.5",10,IF(C6="3.5",12,0)))),"")</f>
        <v/>
      </c>
      <c r="F6" s="28">
        <f>IF(AND(D6&lt;&gt;"",E6&lt;&gt;""),D6*E6,"")</f>
        <v/>
      </c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81">
        <f>IF(A6&lt;&gt;"",IFERROR(F6+G6+H6+I6+J6+K6+L6+M6+N6+O6,0),"")</f>
        <v/>
      </c>
      <c r="Q6" s="62">
        <f>IF(A6&lt;&gt;"",IFERROR(VLOOKUP(A6,Agenda!A:N,14,0),0),"")</f>
        <v/>
      </c>
      <c r="R6" s="28">
        <f>IF(A6&lt;&gt;"",Q6-P6,"")</f>
        <v/>
      </c>
      <c r="S6" s="82">
        <f>IF(AND(A6&lt;&gt;"",Q6&lt;&gt;0),R6/Q6*100,"")</f>
        <v/>
      </c>
      <c r="T6" s="61" t="n"/>
      <c r="V6" t="inlineStr">
        <is>
          <t>Pick Up</t>
        </is>
      </c>
      <c r="W6" s="86" t="n">
        <v>7</v>
      </c>
    </row>
    <row r="7" ht="18" customHeight="1">
      <c r="A7" s="54" t="n"/>
      <c r="B7" s="70">
        <f>IF(A7&lt;&gt;"",IFERROR(VLOOKUP(A7,Agenda!A:E,5,0),"—"),"")</f>
        <v/>
      </c>
      <c r="C7" s="71">
        <f>IF(A7&lt;&gt;"",IFERROR(VLOOKUP(A7,Agenda!A:K,11,0),"—"),"")</f>
        <v/>
      </c>
      <c r="D7" s="83" t="n"/>
      <c r="E7" s="80">
        <f>IF(A7&lt;&gt;"",IF(C7="Pick Up",7,IF(C7="1.5 Cerrada",9,IF(C7="2.5",10,IF(C7="3.5",12,0)))),"")</f>
        <v/>
      </c>
      <c r="F7" s="28">
        <f>IF(AND(D7&lt;&gt;"",E7&lt;&gt;""),D7*E7,"")</f>
        <v/>
      </c>
      <c r="G7" s="74" t="n"/>
      <c r="H7" s="74" t="n"/>
      <c r="I7" s="74" t="n"/>
      <c r="J7" s="74" t="n"/>
      <c r="K7" s="74" t="n"/>
      <c r="L7" s="74" t="n"/>
      <c r="M7" s="74" t="n"/>
      <c r="N7" s="74" t="n"/>
      <c r="O7" s="74" t="n"/>
      <c r="P7" s="81">
        <f>IF(A7&lt;&gt;"",IFERROR(F7+G7+H7+I7+J7+K7+L7+M7+N7+O7,0),"")</f>
        <v/>
      </c>
      <c r="Q7" s="74">
        <f>IF(A7&lt;&gt;"",IFERROR(VLOOKUP(A7,Agenda!A:N,14,0),0),"")</f>
        <v/>
      </c>
      <c r="R7" s="28">
        <f>IF(A7&lt;&gt;"",Q7-P7,"")</f>
        <v/>
      </c>
      <c r="S7" s="84">
        <f>IF(AND(A7&lt;&gt;"",Q7&lt;&gt;0),R7/Q7*100,"")</f>
        <v/>
      </c>
      <c r="T7" s="73" t="n"/>
      <c r="V7" t="inlineStr">
        <is>
          <t>1.5 Cerrada</t>
        </is>
      </c>
      <c r="W7" s="86" t="n">
        <v>9</v>
      </c>
    </row>
    <row r="8" ht="18" customHeight="1">
      <c r="A8" s="54" t="n"/>
      <c r="B8" s="58">
        <f>IF(A8&lt;&gt;"",IFERROR(VLOOKUP(A8,Agenda!A:E,5,0),"—"),"")</f>
        <v/>
      </c>
      <c r="C8" s="59">
        <f>IF(A8&lt;&gt;"",IFERROR(VLOOKUP(A8,Agenda!A:K,11,0),"—"),"")</f>
        <v/>
      </c>
      <c r="D8" s="79" t="n"/>
      <c r="E8" s="80">
        <f>IF(A8&lt;&gt;"",IF(C8="Pick Up",7,IF(C8="1.5 Cerrada",9,IF(C8="2.5",10,IF(C8="3.5",12,0)))),"")</f>
        <v/>
      </c>
      <c r="F8" s="28">
        <f>IF(AND(D8&lt;&gt;"",E8&lt;&gt;""),D8*E8,"")</f>
        <v/>
      </c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81">
        <f>IF(A8&lt;&gt;"",IFERROR(F8+G8+H8+I8+J8+K8+L8+M8+N8+O8,0),"")</f>
        <v/>
      </c>
      <c r="Q8" s="62">
        <f>IF(A8&lt;&gt;"",IFERROR(VLOOKUP(A8,Agenda!A:N,14,0),0),"")</f>
        <v/>
      </c>
      <c r="R8" s="28">
        <f>IF(A8&lt;&gt;"",Q8-P8,"")</f>
        <v/>
      </c>
      <c r="S8" s="82">
        <f>IF(AND(A8&lt;&gt;"",Q8&lt;&gt;0),R8/Q8*100,"")</f>
        <v/>
      </c>
      <c r="T8" s="61" t="n"/>
      <c r="V8" t="inlineStr">
        <is>
          <t>2.5</t>
        </is>
      </c>
      <c r="W8" s="86" t="n">
        <v>10</v>
      </c>
    </row>
    <row r="9" ht="18" customHeight="1">
      <c r="A9" s="54" t="n"/>
      <c r="B9" s="70">
        <f>IF(A9&lt;&gt;"",IFERROR(VLOOKUP(A9,Agenda!A:E,5,0),"—"),"")</f>
        <v/>
      </c>
      <c r="C9" s="71">
        <f>IF(A9&lt;&gt;"",IFERROR(VLOOKUP(A9,Agenda!A:K,11,0),"—"),"")</f>
        <v/>
      </c>
      <c r="D9" s="83" t="n"/>
      <c r="E9" s="80">
        <f>IF(A9&lt;&gt;"",IF(C9="Pick Up",7,IF(C9="1.5 Cerrada",9,IF(C9="2.5",10,IF(C9="3.5",12,0)))),"")</f>
        <v/>
      </c>
      <c r="F9" s="28">
        <f>IF(AND(D9&lt;&gt;"",E9&lt;&gt;""),D9*E9,"")</f>
        <v/>
      </c>
      <c r="G9" s="74" t="n"/>
      <c r="H9" s="74" t="n"/>
      <c r="I9" s="74" t="n"/>
      <c r="J9" s="74" t="n"/>
      <c r="K9" s="74" t="n"/>
      <c r="L9" s="74" t="n"/>
      <c r="M9" s="74" t="n"/>
      <c r="N9" s="74" t="n"/>
      <c r="O9" s="74" t="n"/>
      <c r="P9" s="81">
        <f>IF(A9&lt;&gt;"",IFERROR(F9+G9+H9+I9+J9+K9+L9+M9+N9+O9,0),"")</f>
        <v/>
      </c>
      <c r="Q9" s="74">
        <f>IF(A9&lt;&gt;"",IFERROR(VLOOKUP(A9,Agenda!A:N,14,0),0),"")</f>
        <v/>
      </c>
      <c r="R9" s="28">
        <f>IF(A9&lt;&gt;"",Q9-P9,"")</f>
        <v/>
      </c>
      <c r="S9" s="84">
        <f>IF(AND(A9&lt;&gt;"",Q9&lt;&gt;0),R9/Q9*100,"")</f>
        <v/>
      </c>
      <c r="T9" s="73" t="n"/>
      <c r="V9" t="inlineStr">
        <is>
          <t>3.5</t>
        </is>
      </c>
      <c r="W9" s="86" t="n">
        <v>12</v>
      </c>
    </row>
    <row r="10" ht="18" customHeight="1">
      <c r="A10" s="54" t="n"/>
      <c r="B10" s="58">
        <f>IF(A10&lt;&gt;"",IFERROR(VLOOKUP(A10,Agenda!A:E,5,0),"—"),"")</f>
        <v/>
      </c>
      <c r="C10" s="59">
        <f>IF(A10&lt;&gt;"",IFERROR(VLOOKUP(A10,Agenda!A:K,11,0),"—"),"")</f>
        <v/>
      </c>
      <c r="D10" s="79" t="n"/>
      <c r="E10" s="80">
        <f>IF(A10&lt;&gt;"",IF(C10="Pick Up",7,IF(C10="1.5 Cerrada",9,IF(C10="2.5",10,IF(C10="3.5",12,0)))),"")</f>
        <v/>
      </c>
      <c r="F10" s="28">
        <f>IF(AND(D10&lt;&gt;"",E10&lt;&gt;""),D10*E10,"")</f>
        <v/>
      </c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81">
        <f>IF(A10&lt;&gt;"",IFERROR(F10+G10+H10+I10+J10+K10+L10+M10+N10+O10,0),"")</f>
        <v/>
      </c>
      <c r="Q10" s="62">
        <f>IF(A10&lt;&gt;"",IFERROR(VLOOKUP(A10,Agenda!A:N,14,0),0),"")</f>
        <v/>
      </c>
      <c r="R10" s="28">
        <f>IF(A10&lt;&gt;"",Q10-P10,"")</f>
        <v/>
      </c>
      <c r="S10" s="82">
        <f>IF(AND(A10&lt;&gt;"",Q10&lt;&gt;0),R10/Q10*100,"")</f>
        <v/>
      </c>
      <c r="T10" s="61" t="n"/>
    </row>
    <row r="11" ht="18" customHeight="1">
      <c r="A11" s="54" t="n"/>
      <c r="B11" s="70">
        <f>IF(A11&lt;&gt;"",IFERROR(VLOOKUP(A11,Agenda!A:E,5,0),"—"),"")</f>
        <v/>
      </c>
      <c r="C11" s="71">
        <f>IF(A11&lt;&gt;"",IFERROR(VLOOKUP(A11,Agenda!A:K,11,0),"—"),"")</f>
        <v/>
      </c>
      <c r="D11" s="83" t="n"/>
      <c r="E11" s="80">
        <f>IF(A11&lt;&gt;"",IF(C11="Pick Up",7,IF(C11="1.5 Cerrada",9,IF(C11="2.5",10,IF(C11="3.5",12,0)))),"")</f>
        <v/>
      </c>
      <c r="F11" s="28">
        <f>IF(AND(D11&lt;&gt;"",E11&lt;&gt;""),D11*E11,"")</f>
        <v/>
      </c>
      <c r="G11" s="74" t="n"/>
      <c r="H11" s="74" t="n"/>
      <c r="I11" s="74" t="n"/>
      <c r="J11" s="74" t="n"/>
      <c r="K11" s="74" t="n"/>
      <c r="L11" s="74" t="n"/>
      <c r="M11" s="74" t="n"/>
      <c r="N11" s="74" t="n"/>
      <c r="O11" s="74" t="n"/>
      <c r="P11" s="81">
        <f>IF(A11&lt;&gt;"",IFERROR(F11+G11+H11+I11+J11+K11+L11+M11+N11+O11,0),"")</f>
        <v/>
      </c>
      <c r="Q11" s="74">
        <f>IF(A11&lt;&gt;"",IFERROR(VLOOKUP(A11,Agenda!A:N,14,0),0),"")</f>
        <v/>
      </c>
      <c r="R11" s="28">
        <f>IF(A11&lt;&gt;"",Q11-P11,"")</f>
        <v/>
      </c>
      <c r="S11" s="84">
        <f>IF(AND(A11&lt;&gt;"",Q11&lt;&gt;0),R11/Q11*100,"")</f>
        <v/>
      </c>
      <c r="T11" s="73" t="n"/>
    </row>
    <row r="12" ht="18" customHeight="1">
      <c r="A12" s="54" t="n"/>
      <c r="B12" s="58">
        <f>IF(A12&lt;&gt;"",IFERROR(VLOOKUP(A12,Agenda!A:E,5,0),"—"),"")</f>
        <v/>
      </c>
      <c r="C12" s="59">
        <f>IF(A12&lt;&gt;"",IFERROR(VLOOKUP(A12,Agenda!A:K,11,0),"—"),"")</f>
        <v/>
      </c>
      <c r="D12" s="79" t="n"/>
      <c r="E12" s="80">
        <f>IF(A12&lt;&gt;"",IF(C12="Pick Up",7,IF(C12="1.5 Cerrada",9,IF(C12="2.5",10,IF(C12="3.5",12,0)))),"")</f>
        <v/>
      </c>
      <c r="F12" s="28">
        <f>IF(AND(D12&lt;&gt;"",E12&lt;&gt;""),D12*E12,"")</f>
        <v/>
      </c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81">
        <f>IF(A12&lt;&gt;"",IFERROR(F12+G12+H12+I12+J12+K12+L12+M12+N12+O12,0),"")</f>
        <v/>
      </c>
      <c r="Q12" s="62">
        <f>IF(A12&lt;&gt;"",IFERROR(VLOOKUP(A12,Agenda!A:N,14,0),0),"")</f>
        <v/>
      </c>
      <c r="R12" s="28">
        <f>IF(A12&lt;&gt;"",Q12-P12,"")</f>
        <v/>
      </c>
      <c r="S12" s="82">
        <f>IF(AND(A12&lt;&gt;"",Q12&lt;&gt;0),R12/Q12*100,"")</f>
        <v/>
      </c>
      <c r="T12" s="61" t="n"/>
    </row>
    <row r="13" ht="18" customHeight="1">
      <c r="A13" s="54" t="n"/>
      <c r="B13" s="70">
        <f>IF(A13&lt;&gt;"",IFERROR(VLOOKUP(A13,Agenda!A:E,5,0),"—"),"")</f>
        <v/>
      </c>
      <c r="C13" s="71">
        <f>IF(A13&lt;&gt;"",IFERROR(VLOOKUP(A13,Agenda!A:K,11,0),"—"),"")</f>
        <v/>
      </c>
      <c r="D13" s="83" t="n"/>
      <c r="E13" s="80">
        <f>IF(A13&lt;&gt;"",IF(C13="Pick Up",7,IF(C13="1.5 Cerrada",9,IF(C13="2.5",10,IF(C13="3.5",12,0)))),"")</f>
        <v/>
      </c>
      <c r="F13" s="28">
        <f>IF(AND(D13&lt;&gt;"",E13&lt;&gt;""),D13*E13,"")</f>
        <v/>
      </c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81">
        <f>IF(A13&lt;&gt;"",IFERROR(F13+G13+H13+I13+J13+K13+L13+M13+N13+O13,0),"")</f>
        <v/>
      </c>
      <c r="Q13" s="74">
        <f>IF(A13&lt;&gt;"",IFERROR(VLOOKUP(A13,Agenda!A:N,14,0),0),"")</f>
        <v/>
      </c>
      <c r="R13" s="28">
        <f>IF(A13&lt;&gt;"",Q13-P13,"")</f>
        <v/>
      </c>
      <c r="S13" s="84">
        <f>IF(AND(A13&lt;&gt;"",Q13&lt;&gt;0),R13/Q13*100,"")</f>
        <v/>
      </c>
      <c r="T13" s="73" t="n"/>
    </row>
    <row r="14" ht="18" customHeight="1">
      <c r="A14" s="54" t="n"/>
      <c r="B14" s="58">
        <f>IF(A14&lt;&gt;"",IFERROR(VLOOKUP(A14,Agenda!A:E,5,0),"—"),"")</f>
        <v/>
      </c>
      <c r="C14" s="59">
        <f>IF(A14&lt;&gt;"",IFERROR(VLOOKUP(A14,Agenda!A:K,11,0),"—"),"")</f>
        <v/>
      </c>
      <c r="D14" s="79" t="n"/>
      <c r="E14" s="80">
        <f>IF(A14&lt;&gt;"",IF(C14="Pick Up",7,IF(C14="1.5 Cerrada",9,IF(C14="2.5",10,IF(C14="3.5",12,0)))),"")</f>
        <v/>
      </c>
      <c r="F14" s="28">
        <f>IF(AND(D14&lt;&gt;"",E14&lt;&gt;""),D14*E14,"")</f>
        <v/>
      </c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81">
        <f>IF(A14&lt;&gt;"",IFERROR(F14+G14+H14+I14+J14+K14+L14+M14+N14+O14,0),"")</f>
        <v/>
      </c>
      <c r="Q14" s="62">
        <f>IF(A14&lt;&gt;"",IFERROR(VLOOKUP(A14,Agenda!A:N,14,0),0),"")</f>
        <v/>
      </c>
      <c r="R14" s="28">
        <f>IF(A14&lt;&gt;"",Q14-P14,"")</f>
        <v/>
      </c>
      <c r="S14" s="82">
        <f>IF(AND(A14&lt;&gt;"",Q14&lt;&gt;0),R14/Q14*100,"")</f>
        <v/>
      </c>
      <c r="T14" s="61" t="n"/>
    </row>
    <row r="15" ht="18" customHeight="1">
      <c r="A15" s="54" t="n"/>
      <c r="B15" s="70">
        <f>IF(A15&lt;&gt;"",IFERROR(VLOOKUP(A15,Agenda!A:E,5,0),"—"),"")</f>
        <v/>
      </c>
      <c r="C15" s="71">
        <f>IF(A15&lt;&gt;"",IFERROR(VLOOKUP(A15,Agenda!A:K,11,0),"—"),"")</f>
        <v/>
      </c>
      <c r="D15" s="83" t="n"/>
      <c r="E15" s="80">
        <f>IF(A15&lt;&gt;"",IF(C15="Pick Up",7,IF(C15="1.5 Cerrada",9,IF(C15="2.5",10,IF(C15="3.5",12,0)))),"")</f>
        <v/>
      </c>
      <c r="F15" s="28">
        <f>IF(AND(D15&lt;&gt;"",E15&lt;&gt;""),D15*E15,"")</f>
        <v/>
      </c>
      <c r="G15" s="74" t="n"/>
      <c r="H15" s="74" t="n"/>
      <c r="I15" s="74" t="n"/>
      <c r="J15" s="74" t="n"/>
      <c r="K15" s="74" t="n"/>
      <c r="L15" s="74" t="n"/>
      <c r="M15" s="74" t="n"/>
      <c r="N15" s="74" t="n"/>
      <c r="O15" s="74" t="n"/>
      <c r="P15" s="81">
        <f>IF(A15&lt;&gt;"",IFERROR(F15+G15+H15+I15+J15+K15+L15+M15+N15+O15,0),"")</f>
        <v/>
      </c>
      <c r="Q15" s="74">
        <f>IF(A15&lt;&gt;"",IFERROR(VLOOKUP(A15,Agenda!A:N,14,0),0),"")</f>
        <v/>
      </c>
      <c r="R15" s="28">
        <f>IF(A15&lt;&gt;"",Q15-P15,"")</f>
        <v/>
      </c>
      <c r="S15" s="84">
        <f>IF(AND(A15&lt;&gt;"",Q15&lt;&gt;0),R15/Q15*100,"")</f>
        <v/>
      </c>
      <c r="T15" s="73" t="n"/>
    </row>
    <row r="16" ht="18" customHeight="1">
      <c r="A16" s="54" t="n"/>
      <c r="B16" s="58">
        <f>IF(A16&lt;&gt;"",IFERROR(VLOOKUP(A16,Agenda!A:E,5,0),"—"),"")</f>
        <v/>
      </c>
      <c r="C16" s="59">
        <f>IF(A16&lt;&gt;"",IFERROR(VLOOKUP(A16,Agenda!A:K,11,0),"—"),"")</f>
        <v/>
      </c>
      <c r="D16" s="79" t="n"/>
      <c r="E16" s="80">
        <f>IF(A16&lt;&gt;"",IF(C16="Pick Up",7,IF(C16="1.5 Cerrada",9,IF(C16="2.5",10,IF(C16="3.5",12,0)))),"")</f>
        <v/>
      </c>
      <c r="F16" s="28">
        <f>IF(AND(D16&lt;&gt;"",E16&lt;&gt;""),D16*E16,"")</f>
        <v/>
      </c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81">
        <f>IF(A16&lt;&gt;"",IFERROR(F16+G16+H16+I16+J16+K16+L16+M16+N16+O16,0),"")</f>
        <v/>
      </c>
      <c r="Q16" s="62">
        <f>IF(A16&lt;&gt;"",IFERROR(VLOOKUP(A16,Agenda!A:N,14,0),0),"")</f>
        <v/>
      </c>
      <c r="R16" s="28">
        <f>IF(A16&lt;&gt;"",Q16-P16,"")</f>
        <v/>
      </c>
      <c r="S16" s="82">
        <f>IF(AND(A16&lt;&gt;"",Q16&lt;&gt;0),R16/Q16*100,"")</f>
        <v/>
      </c>
      <c r="T16" s="61" t="n"/>
    </row>
    <row r="17" ht="18" customHeight="1">
      <c r="A17" s="54" t="n"/>
      <c r="B17" s="70">
        <f>IF(A17&lt;&gt;"",IFERROR(VLOOKUP(A17,Agenda!A:E,5,0),"—"),"")</f>
        <v/>
      </c>
      <c r="C17" s="71">
        <f>IF(A17&lt;&gt;"",IFERROR(VLOOKUP(A17,Agenda!A:K,11,0),"—"),"")</f>
        <v/>
      </c>
      <c r="D17" s="83" t="n"/>
      <c r="E17" s="80">
        <f>IF(A17&lt;&gt;"",IF(C17="Pick Up",7,IF(C17="1.5 Cerrada",9,IF(C17="2.5",10,IF(C17="3.5",12,0)))),"")</f>
        <v/>
      </c>
      <c r="F17" s="28">
        <f>IF(AND(D17&lt;&gt;"",E17&lt;&gt;""),D17*E17,"")</f>
        <v/>
      </c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81">
        <f>IF(A17&lt;&gt;"",IFERROR(F17+G17+H17+I17+J17+K17+L17+M17+N17+O17,0),"")</f>
        <v/>
      </c>
      <c r="Q17" s="74">
        <f>IF(A17&lt;&gt;"",IFERROR(VLOOKUP(A17,Agenda!A:N,14,0),0),"")</f>
        <v/>
      </c>
      <c r="R17" s="28">
        <f>IF(A17&lt;&gt;"",Q17-P17,"")</f>
        <v/>
      </c>
      <c r="S17" s="84">
        <f>IF(AND(A17&lt;&gt;"",Q17&lt;&gt;0),R17/Q17*100,"")</f>
        <v/>
      </c>
      <c r="T17" s="73" t="n"/>
    </row>
    <row r="18" ht="18" customHeight="1">
      <c r="A18" s="54" t="n"/>
      <c r="B18" s="58">
        <f>IF(A18&lt;&gt;"",IFERROR(VLOOKUP(A18,Agenda!A:E,5,0),"—"),"")</f>
        <v/>
      </c>
      <c r="C18" s="59">
        <f>IF(A18&lt;&gt;"",IFERROR(VLOOKUP(A18,Agenda!A:K,11,0),"—"),"")</f>
        <v/>
      </c>
      <c r="D18" s="79" t="n"/>
      <c r="E18" s="80">
        <f>IF(A18&lt;&gt;"",IF(C18="Pick Up",7,IF(C18="1.5 Cerrada",9,IF(C18="2.5",10,IF(C18="3.5",12,0)))),"")</f>
        <v/>
      </c>
      <c r="F18" s="28">
        <f>IF(AND(D18&lt;&gt;"",E18&lt;&gt;""),D18*E18,"")</f>
        <v/>
      </c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81">
        <f>IF(A18&lt;&gt;"",IFERROR(F18+G18+H18+I18+J18+K18+L18+M18+N18+O18,0),"")</f>
        <v/>
      </c>
      <c r="Q18" s="62">
        <f>IF(A18&lt;&gt;"",IFERROR(VLOOKUP(A18,Agenda!A:N,14,0),0),"")</f>
        <v/>
      </c>
      <c r="R18" s="28">
        <f>IF(A18&lt;&gt;"",Q18-P18,"")</f>
        <v/>
      </c>
      <c r="S18" s="82">
        <f>IF(AND(A18&lt;&gt;"",Q18&lt;&gt;0),R18/Q18*100,"")</f>
        <v/>
      </c>
      <c r="T18" s="61" t="n"/>
    </row>
    <row r="19" ht="18" customHeight="1">
      <c r="A19" s="54" t="n"/>
      <c r="B19" s="70">
        <f>IF(A19&lt;&gt;"",IFERROR(VLOOKUP(A19,Agenda!A:E,5,0),"—"),"")</f>
        <v/>
      </c>
      <c r="C19" s="71">
        <f>IF(A19&lt;&gt;"",IFERROR(VLOOKUP(A19,Agenda!A:K,11,0),"—"),"")</f>
        <v/>
      </c>
      <c r="D19" s="83" t="n"/>
      <c r="E19" s="80">
        <f>IF(A19&lt;&gt;"",IF(C19="Pick Up",7,IF(C19="1.5 Cerrada",9,IF(C19="2.5",10,IF(C19="3.5",12,0)))),"")</f>
        <v/>
      </c>
      <c r="F19" s="28">
        <f>IF(AND(D19&lt;&gt;"",E19&lt;&gt;""),D19*E19,"")</f>
        <v/>
      </c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81">
        <f>IF(A19&lt;&gt;"",IFERROR(F19+G19+H19+I19+J19+K19+L19+M19+N19+O19,0),"")</f>
        <v/>
      </c>
      <c r="Q19" s="74">
        <f>IF(A19&lt;&gt;"",IFERROR(VLOOKUP(A19,Agenda!A:N,14,0),0),"")</f>
        <v/>
      </c>
      <c r="R19" s="28">
        <f>IF(A19&lt;&gt;"",Q19-P19,"")</f>
        <v/>
      </c>
      <c r="S19" s="84">
        <f>IF(AND(A19&lt;&gt;"",Q19&lt;&gt;0),R19/Q19*100,"")</f>
        <v/>
      </c>
      <c r="T19" s="73" t="n"/>
    </row>
    <row r="20" ht="18" customHeight="1">
      <c r="A20" s="54" t="n"/>
      <c r="B20" s="58">
        <f>IF(A20&lt;&gt;"",IFERROR(VLOOKUP(A20,Agenda!A:E,5,0),"—"),"")</f>
        <v/>
      </c>
      <c r="C20" s="59">
        <f>IF(A20&lt;&gt;"",IFERROR(VLOOKUP(A20,Agenda!A:K,11,0),"—"),"")</f>
        <v/>
      </c>
      <c r="D20" s="79" t="n"/>
      <c r="E20" s="80">
        <f>IF(A20&lt;&gt;"",IF(C20="Pick Up",7,IF(C20="1.5 Cerrada",9,IF(C20="2.5",10,IF(C20="3.5",12,0)))),"")</f>
        <v/>
      </c>
      <c r="F20" s="28">
        <f>IF(AND(D20&lt;&gt;"",E20&lt;&gt;""),D20*E20,"")</f>
        <v/>
      </c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81">
        <f>IF(A20&lt;&gt;"",IFERROR(F20+G20+H20+I20+J20+K20+L20+M20+N20+O20,0),"")</f>
        <v/>
      </c>
      <c r="Q20" s="62">
        <f>IF(A20&lt;&gt;"",IFERROR(VLOOKUP(A20,Agenda!A:N,14,0),0),"")</f>
        <v/>
      </c>
      <c r="R20" s="28">
        <f>IF(A20&lt;&gt;"",Q20-P20,"")</f>
        <v/>
      </c>
      <c r="S20" s="82">
        <f>IF(AND(A20&lt;&gt;"",Q20&lt;&gt;0),R20/Q20*100,"")</f>
        <v/>
      </c>
      <c r="T20" s="61" t="n"/>
    </row>
    <row r="21" ht="18" customHeight="1">
      <c r="A21" s="54" t="n"/>
      <c r="B21" s="70">
        <f>IF(A21&lt;&gt;"",IFERROR(VLOOKUP(A21,Agenda!A:E,5,0),"—"),"")</f>
        <v/>
      </c>
      <c r="C21" s="71">
        <f>IF(A21&lt;&gt;"",IFERROR(VLOOKUP(A21,Agenda!A:K,11,0),"—"),"")</f>
        <v/>
      </c>
      <c r="D21" s="83" t="n"/>
      <c r="E21" s="80">
        <f>IF(A21&lt;&gt;"",IF(C21="Pick Up",7,IF(C21="1.5 Cerrada",9,IF(C21="2.5",10,IF(C21="3.5",12,0)))),"")</f>
        <v/>
      </c>
      <c r="F21" s="28">
        <f>IF(AND(D21&lt;&gt;"",E21&lt;&gt;""),D21*E21,"")</f>
        <v/>
      </c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81">
        <f>IF(A21&lt;&gt;"",IFERROR(F21+G21+H21+I21+J21+K21+L21+M21+N21+O21,0),"")</f>
        <v/>
      </c>
      <c r="Q21" s="74">
        <f>IF(A21&lt;&gt;"",IFERROR(VLOOKUP(A21,Agenda!A:N,14,0),0),"")</f>
        <v/>
      </c>
      <c r="R21" s="28">
        <f>IF(A21&lt;&gt;"",Q21-P21,"")</f>
        <v/>
      </c>
      <c r="S21" s="84">
        <f>IF(AND(A21&lt;&gt;"",Q21&lt;&gt;0),R21/Q21*100,"")</f>
        <v/>
      </c>
      <c r="T21" s="73" t="n"/>
    </row>
    <row r="22" ht="18" customHeight="1">
      <c r="A22" s="54" t="n"/>
      <c r="B22" s="58">
        <f>IF(A22&lt;&gt;"",IFERROR(VLOOKUP(A22,Agenda!A:E,5,0),"—"),"")</f>
        <v/>
      </c>
      <c r="C22" s="59">
        <f>IF(A22&lt;&gt;"",IFERROR(VLOOKUP(A22,Agenda!A:K,11,0),"—"),"")</f>
        <v/>
      </c>
      <c r="D22" s="79" t="n"/>
      <c r="E22" s="80">
        <f>IF(A22&lt;&gt;"",IF(C22="Pick Up",7,IF(C22="1.5 Cerrada",9,IF(C22="2.5",10,IF(C22="3.5",12,0)))),"")</f>
        <v/>
      </c>
      <c r="F22" s="28">
        <f>IF(AND(D22&lt;&gt;"",E22&lt;&gt;""),D22*E22,"")</f>
        <v/>
      </c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81">
        <f>IF(A22&lt;&gt;"",IFERROR(F22+G22+H22+I22+J22+K22+L22+M22+N22+O22,0),"")</f>
        <v/>
      </c>
      <c r="Q22" s="62">
        <f>IF(A22&lt;&gt;"",IFERROR(VLOOKUP(A22,Agenda!A:N,14,0),0),"")</f>
        <v/>
      </c>
      <c r="R22" s="28">
        <f>IF(A22&lt;&gt;"",Q22-P22,"")</f>
        <v/>
      </c>
      <c r="S22" s="82">
        <f>IF(AND(A22&lt;&gt;"",Q22&lt;&gt;0),R22/Q22*100,"")</f>
        <v/>
      </c>
      <c r="T22" s="61" t="n"/>
    </row>
    <row r="23" ht="18" customHeight="1">
      <c r="A23" s="54" t="n"/>
      <c r="B23" s="70">
        <f>IF(A23&lt;&gt;"",IFERROR(VLOOKUP(A23,Agenda!A:E,5,0),"—"),"")</f>
        <v/>
      </c>
      <c r="C23" s="71">
        <f>IF(A23&lt;&gt;"",IFERROR(VLOOKUP(A23,Agenda!A:K,11,0),"—"),"")</f>
        <v/>
      </c>
      <c r="D23" s="83" t="n"/>
      <c r="E23" s="80">
        <f>IF(A23&lt;&gt;"",IF(C23="Pick Up",7,IF(C23="1.5 Cerrada",9,IF(C23="2.5",10,IF(C23="3.5",12,0)))),"")</f>
        <v/>
      </c>
      <c r="F23" s="28">
        <f>IF(AND(D23&lt;&gt;"",E23&lt;&gt;""),D23*E23,"")</f>
        <v/>
      </c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81">
        <f>IF(A23&lt;&gt;"",IFERROR(F23+G23+H23+I23+J23+K23+L23+M23+N23+O23,0),"")</f>
        <v/>
      </c>
      <c r="Q23" s="74">
        <f>IF(A23&lt;&gt;"",IFERROR(VLOOKUP(A23,Agenda!A:N,14,0),0),"")</f>
        <v/>
      </c>
      <c r="R23" s="28">
        <f>IF(A23&lt;&gt;"",Q23-P23,"")</f>
        <v/>
      </c>
      <c r="S23" s="84">
        <f>IF(AND(A23&lt;&gt;"",Q23&lt;&gt;0),R23/Q23*100,"")</f>
        <v/>
      </c>
      <c r="T23" s="73" t="n"/>
    </row>
    <row r="24" ht="18" customHeight="1">
      <c r="A24" s="54" t="n"/>
      <c r="B24" s="58">
        <f>IF(A24&lt;&gt;"",IFERROR(VLOOKUP(A24,Agenda!A:E,5,0),"—"),"")</f>
        <v/>
      </c>
      <c r="C24" s="59">
        <f>IF(A24&lt;&gt;"",IFERROR(VLOOKUP(A24,Agenda!A:K,11,0),"—"),"")</f>
        <v/>
      </c>
      <c r="D24" s="79" t="n"/>
      <c r="E24" s="80">
        <f>IF(A24&lt;&gt;"",IF(C24="Pick Up",7,IF(C24="1.5 Cerrada",9,IF(C24="2.5",10,IF(C24="3.5",12,0)))),"")</f>
        <v/>
      </c>
      <c r="F24" s="28">
        <f>IF(AND(D24&lt;&gt;"",E24&lt;&gt;""),D24*E24,"")</f>
        <v/>
      </c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81">
        <f>IF(A24&lt;&gt;"",IFERROR(F24+G24+H24+I24+J24+K24+L24+M24+N24+O24,0),"")</f>
        <v/>
      </c>
      <c r="Q24" s="62">
        <f>IF(A24&lt;&gt;"",IFERROR(VLOOKUP(A24,Agenda!A:N,14,0),0),"")</f>
        <v/>
      </c>
      <c r="R24" s="28">
        <f>IF(A24&lt;&gt;"",Q24-P24,"")</f>
        <v/>
      </c>
      <c r="S24" s="82">
        <f>IF(AND(A24&lt;&gt;"",Q24&lt;&gt;0),R24/Q24*100,"")</f>
        <v/>
      </c>
      <c r="T24" s="61" t="n"/>
    </row>
    <row r="25" ht="18" customHeight="1">
      <c r="A25" s="54" t="n"/>
      <c r="B25" s="70">
        <f>IF(A25&lt;&gt;"",IFERROR(VLOOKUP(A25,Agenda!A:E,5,0),"—"),"")</f>
        <v/>
      </c>
      <c r="C25" s="71">
        <f>IF(A25&lt;&gt;"",IFERROR(VLOOKUP(A25,Agenda!A:K,11,0),"—"),"")</f>
        <v/>
      </c>
      <c r="D25" s="83" t="n"/>
      <c r="E25" s="80">
        <f>IF(A25&lt;&gt;"",IF(C25="Pick Up",7,IF(C25="1.5 Cerrada",9,IF(C25="2.5",10,IF(C25="3.5",12,0)))),"")</f>
        <v/>
      </c>
      <c r="F25" s="28">
        <f>IF(AND(D25&lt;&gt;"",E25&lt;&gt;""),D25*E25,"")</f>
        <v/>
      </c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81">
        <f>IF(A25&lt;&gt;"",IFERROR(F25+G25+H25+I25+J25+K25+L25+M25+N25+O25,0),"")</f>
        <v/>
      </c>
      <c r="Q25" s="74">
        <f>IF(A25&lt;&gt;"",IFERROR(VLOOKUP(A25,Agenda!A:N,14,0),0),"")</f>
        <v/>
      </c>
      <c r="R25" s="28">
        <f>IF(A25&lt;&gt;"",Q25-P25,"")</f>
        <v/>
      </c>
      <c r="S25" s="84">
        <f>IF(AND(A25&lt;&gt;"",Q25&lt;&gt;0),R25/Q25*100,"")</f>
        <v/>
      </c>
      <c r="T25" s="73" t="n"/>
    </row>
    <row r="26" ht="18" customHeight="1">
      <c r="A26" s="54" t="n"/>
      <c r="B26" s="58">
        <f>IF(A26&lt;&gt;"",IFERROR(VLOOKUP(A26,Agenda!A:E,5,0),"—"),"")</f>
        <v/>
      </c>
      <c r="C26" s="59">
        <f>IF(A26&lt;&gt;"",IFERROR(VLOOKUP(A26,Agenda!A:K,11,0),"—"),"")</f>
        <v/>
      </c>
      <c r="D26" s="79" t="n"/>
      <c r="E26" s="80">
        <f>IF(A26&lt;&gt;"",IF(C26="Pick Up",7,IF(C26="1.5 Cerrada",9,IF(C26="2.5",10,IF(C26="3.5",12,0)))),"")</f>
        <v/>
      </c>
      <c r="F26" s="28">
        <f>IF(AND(D26&lt;&gt;"",E26&lt;&gt;""),D26*E26,"")</f>
        <v/>
      </c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81">
        <f>IF(A26&lt;&gt;"",IFERROR(F26+G26+H26+I26+J26+K26+L26+M26+N26+O26,0),"")</f>
        <v/>
      </c>
      <c r="Q26" s="62">
        <f>IF(A26&lt;&gt;"",IFERROR(VLOOKUP(A26,Agenda!A:N,14,0),0),"")</f>
        <v/>
      </c>
      <c r="R26" s="28">
        <f>IF(A26&lt;&gt;"",Q26-P26,"")</f>
        <v/>
      </c>
      <c r="S26" s="82">
        <f>IF(AND(A26&lt;&gt;"",Q26&lt;&gt;0),R26/Q26*100,"")</f>
        <v/>
      </c>
      <c r="T26" s="61" t="n"/>
    </row>
    <row r="27" ht="18" customHeight="1">
      <c r="A27" s="54" t="n"/>
      <c r="B27" s="70">
        <f>IF(A27&lt;&gt;"",IFERROR(VLOOKUP(A27,Agenda!A:E,5,0),"—"),"")</f>
        <v/>
      </c>
      <c r="C27" s="71">
        <f>IF(A27&lt;&gt;"",IFERROR(VLOOKUP(A27,Agenda!A:K,11,0),"—"),"")</f>
        <v/>
      </c>
      <c r="D27" s="83" t="n"/>
      <c r="E27" s="80">
        <f>IF(A27&lt;&gt;"",IF(C27="Pick Up",7,IF(C27="1.5 Cerrada",9,IF(C27="2.5",10,IF(C27="3.5",12,0)))),"")</f>
        <v/>
      </c>
      <c r="F27" s="28">
        <f>IF(AND(D27&lt;&gt;"",E27&lt;&gt;""),D27*E27,"")</f>
        <v/>
      </c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81">
        <f>IF(A27&lt;&gt;"",IFERROR(F27+G27+H27+I27+J27+K27+L27+M27+N27+O27,0),"")</f>
        <v/>
      </c>
      <c r="Q27" s="74">
        <f>IF(A27&lt;&gt;"",IFERROR(VLOOKUP(A27,Agenda!A:N,14,0),0),"")</f>
        <v/>
      </c>
      <c r="R27" s="28">
        <f>IF(A27&lt;&gt;"",Q27-P27,"")</f>
        <v/>
      </c>
      <c r="S27" s="84">
        <f>IF(AND(A27&lt;&gt;"",Q27&lt;&gt;0),R27/Q27*100,"")</f>
        <v/>
      </c>
      <c r="T27" s="73" t="n"/>
    </row>
    <row r="28" ht="18" customHeight="1">
      <c r="A28" s="54" t="n"/>
      <c r="B28" s="58">
        <f>IF(A28&lt;&gt;"",IFERROR(VLOOKUP(A28,Agenda!A:E,5,0),"—"),"")</f>
        <v/>
      </c>
      <c r="C28" s="59">
        <f>IF(A28&lt;&gt;"",IFERROR(VLOOKUP(A28,Agenda!A:K,11,0),"—"),"")</f>
        <v/>
      </c>
      <c r="D28" s="79" t="n"/>
      <c r="E28" s="80">
        <f>IF(A28&lt;&gt;"",IF(C28="Pick Up",7,IF(C28="1.5 Cerrada",9,IF(C28="2.5",10,IF(C28="3.5",12,0)))),"")</f>
        <v/>
      </c>
      <c r="F28" s="28">
        <f>IF(AND(D28&lt;&gt;"",E28&lt;&gt;""),D28*E28,"")</f>
        <v/>
      </c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81">
        <f>IF(A28&lt;&gt;"",IFERROR(F28+G28+H28+I28+J28+K28+L28+M28+N28+O28,0),"")</f>
        <v/>
      </c>
      <c r="Q28" s="62">
        <f>IF(A28&lt;&gt;"",IFERROR(VLOOKUP(A28,Agenda!A:N,14,0),0),"")</f>
        <v/>
      </c>
      <c r="R28" s="28">
        <f>IF(A28&lt;&gt;"",Q28-P28,"")</f>
        <v/>
      </c>
      <c r="S28" s="82">
        <f>IF(AND(A28&lt;&gt;"",Q28&lt;&gt;0),R28/Q28*100,"")</f>
        <v/>
      </c>
      <c r="T28" s="61" t="n"/>
    </row>
    <row r="29" ht="18" customHeight="1">
      <c r="A29" s="54" t="n"/>
      <c r="B29" s="70">
        <f>IF(A29&lt;&gt;"",IFERROR(VLOOKUP(A29,Agenda!A:E,5,0),"—"),"")</f>
        <v/>
      </c>
      <c r="C29" s="71">
        <f>IF(A29&lt;&gt;"",IFERROR(VLOOKUP(A29,Agenda!A:K,11,0),"—"),"")</f>
        <v/>
      </c>
      <c r="D29" s="83" t="n"/>
      <c r="E29" s="80">
        <f>IF(A29&lt;&gt;"",IF(C29="Pick Up",7,IF(C29="1.5 Cerrada",9,IF(C29="2.5",10,IF(C29="3.5",12,0)))),"")</f>
        <v/>
      </c>
      <c r="F29" s="28">
        <f>IF(AND(D29&lt;&gt;"",E29&lt;&gt;""),D29*E29,"")</f>
        <v/>
      </c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81">
        <f>IF(A29&lt;&gt;"",IFERROR(F29+G29+H29+I29+J29+K29+L29+M29+N29+O29,0),"")</f>
        <v/>
      </c>
      <c r="Q29" s="74">
        <f>IF(A29&lt;&gt;"",IFERROR(VLOOKUP(A29,Agenda!A:N,14,0),0),"")</f>
        <v/>
      </c>
      <c r="R29" s="28">
        <f>IF(A29&lt;&gt;"",Q29-P29,"")</f>
        <v/>
      </c>
      <c r="S29" s="84">
        <f>IF(AND(A29&lt;&gt;"",Q29&lt;&gt;0),R29/Q29*100,"")</f>
        <v/>
      </c>
      <c r="T29" s="73" t="n"/>
    </row>
    <row r="30" ht="18" customHeight="1">
      <c r="A30" s="54" t="n"/>
      <c r="B30" s="58">
        <f>IF(A30&lt;&gt;"",IFERROR(VLOOKUP(A30,Agenda!A:E,5,0),"—"),"")</f>
        <v/>
      </c>
      <c r="C30" s="59">
        <f>IF(A30&lt;&gt;"",IFERROR(VLOOKUP(A30,Agenda!A:K,11,0),"—"),"")</f>
        <v/>
      </c>
      <c r="D30" s="79" t="n"/>
      <c r="E30" s="80">
        <f>IF(A30&lt;&gt;"",IF(C30="Pick Up",7,IF(C30="1.5 Cerrada",9,IF(C30="2.5",10,IF(C30="3.5",12,0)))),"")</f>
        <v/>
      </c>
      <c r="F30" s="28">
        <f>IF(AND(D30&lt;&gt;"",E30&lt;&gt;""),D30*E30,"")</f>
        <v/>
      </c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81">
        <f>IF(A30&lt;&gt;"",IFERROR(F30+G30+H30+I30+J30+K30+L30+M30+N30+O30,0),"")</f>
        <v/>
      </c>
      <c r="Q30" s="62">
        <f>IF(A30&lt;&gt;"",IFERROR(VLOOKUP(A30,Agenda!A:N,14,0),0),"")</f>
        <v/>
      </c>
      <c r="R30" s="28">
        <f>IF(A30&lt;&gt;"",Q30-P30,"")</f>
        <v/>
      </c>
      <c r="S30" s="82">
        <f>IF(AND(A30&lt;&gt;"",Q30&lt;&gt;0),R30/Q30*100,"")</f>
        <v/>
      </c>
      <c r="T30" s="61" t="n"/>
    </row>
    <row r="31" ht="18" customHeight="1">
      <c r="A31" s="54" t="n"/>
      <c r="B31" s="70">
        <f>IF(A31&lt;&gt;"",IFERROR(VLOOKUP(A31,Agenda!A:E,5,0),"—"),"")</f>
        <v/>
      </c>
      <c r="C31" s="71">
        <f>IF(A31&lt;&gt;"",IFERROR(VLOOKUP(A31,Agenda!A:K,11,0),"—"),"")</f>
        <v/>
      </c>
      <c r="D31" s="83" t="n"/>
      <c r="E31" s="80">
        <f>IF(A31&lt;&gt;"",IF(C31="Pick Up",7,IF(C31="1.5 Cerrada",9,IF(C31="2.5",10,IF(C31="3.5",12,0)))),"")</f>
        <v/>
      </c>
      <c r="F31" s="28">
        <f>IF(AND(D31&lt;&gt;"",E31&lt;&gt;""),D31*E31,"")</f>
        <v/>
      </c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81">
        <f>IF(A31&lt;&gt;"",IFERROR(F31+G31+H31+I31+J31+K31+L31+M31+N31+O31,0),"")</f>
        <v/>
      </c>
      <c r="Q31" s="74">
        <f>IF(A31&lt;&gt;"",IFERROR(VLOOKUP(A31,Agenda!A:N,14,0),0),"")</f>
        <v/>
      </c>
      <c r="R31" s="28">
        <f>IF(A31&lt;&gt;"",Q31-P31,"")</f>
        <v/>
      </c>
      <c r="S31" s="84">
        <f>IF(AND(A31&lt;&gt;"",Q31&lt;&gt;0),R31/Q31*100,"")</f>
        <v/>
      </c>
      <c r="T31" s="73" t="n"/>
    </row>
    <row r="32" ht="18" customHeight="1">
      <c r="A32" s="54" t="n"/>
      <c r="B32" s="58">
        <f>IF(A32&lt;&gt;"",IFERROR(VLOOKUP(A32,Agenda!A:E,5,0),"—"),"")</f>
        <v/>
      </c>
      <c r="C32" s="59">
        <f>IF(A32&lt;&gt;"",IFERROR(VLOOKUP(A32,Agenda!A:K,11,0),"—"),"")</f>
        <v/>
      </c>
      <c r="D32" s="79" t="n"/>
      <c r="E32" s="80">
        <f>IF(A32&lt;&gt;"",IF(C32="Pick Up",7,IF(C32="1.5 Cerrada",9,IF(C32="2.5",10,IF(C32="3.5",12,0)))),"")</f>
        <v/>
      </c>
      <c r="F32" s="28">
        <f>IF(AND(D32&lt;&gt;"",E32&lt;&gt;""),D32*E32,"")</f>
        <v/>
      </c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81">
        <f>IF(A32&lt;&gt;"",IFERROR(F32+G32+H32+I32+J32+K32+L32+M32+N32+O32,0),"")</f>
        <v/>
      </c>
      <c r="Q32" s="62">
        <f>IF(A32&lt;&gt;"",IFERROR(VLOOKUP(A32,Agenda!A:N,14,0),0),"")</f>
        <v/>
      </c>
      <c r="R32" s="28">
        <f>IF(A32&lt;&gt;"",Q32-P32,"")</f>
        <v/>
      </c>
      <c r="S32" s="82">
        <f>IF(AND(A32&lt;&gt;"",Q32&lt;&gt;0),R32/Q32*100,"")</f>
        <v/>
      </c>
      <c r="T32" s="61" t="n"/>
    </row>
    <row r="33" ht="18" customHeight="1">
      <c r="A33" s="54" t="n"/>
      <c r="B33" s="70">
        <f>IF(A33&lt;&gt;"",IFERROR(VLOOKUP(A33,Agenda!A:E,5,0),"—"),"")</f>
        <v/>
      </c>
      <c r="C33" s="71">
        <f>IF(A33&lt;&gt;"",IFERROR(VLOOKUP(A33,Agenda!A:K,11,0),"—"),"")</f>
        <v/>
      </c>
      <c r="D33" s="83" t="n"/>
      <c r="E33" s="80">
        <f>IF(A33&lt;&gt;"",IF(C33="Pick Up",7,IF(C33="1.5 Cerrada",9,IF(C33="2.5",10,IF(C33="3.5",12,0)))),"")</f>
        <v/>
      </c>
      <c r="F33" s="28">
        <f>IF(AND(D33&lt;&gt;"",E33&lt;&gt;""),D33*E33,"")</f>
        <v/>
      </c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81">
        <f>IF(A33&lt;&gt;"",IFERROR(F33+G33+H33+I33+J33+K33+L33+M33+N33+O33,0),"")</f>
        <v/>
      </c>
      <c r="Q33" s="74">
        <f>IF(A33&lt;&gt;"",IFERROR(VLOOKUP(A33,Agenda!A:N,14,0),0),"")</f>
        <v/>
      </c>
      <c r="R33" s="28">
        <f>IF(A33&lt;&gt;"",Q33-P33,"")</f>
        <v/>
      </c>
      <c r="S33" s="84">
        <f>IF(AND(A33&lt;&gt;"",Q33&lt;&gt;0),R33/Q33*100,"")</f>
        <v/>
      </c>
      <c r="T33" s="73" t="n"/>
    </row>
    <row r="34" ht="18" customHeight="1">
      <c r="A34" s="54" t="n"/>
      <c r="B34" s="58">
        <f>IF(A34&lt;&gt;"",IFERROR(VLOOKUP(A34,Agenda!A:E,5,0),"—"),"")</f>
        <v/>
      </c>
      <c r="C34" s="59">
        <f>IF(A34&lt;&gt;"",IFERROR(VLOOKUP(A34,Agenda!A:K,11,0),"—"),"")</f>
        <v/>
      </c>
      <c r="D34" s="79" t="n"/>
      <c r="E34" s="80">
        <f>IF(A34&lt;&gt;"",IF(C34="Pick Up",7,IF(C34="1.5 Cerrada",9,IF(C34="2.5",10,IF(C34="3.5",12,0)))),"")</f>
        <v/>
      </c>
      <c r="F34" s="28">
        <f>IF(AND(D34&lt;&gt;"",E34&lt;&gt;""),D34*E34,"")</f>
        <v/>
      </c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81">
        <f>IF(A34&lt;&gt;"",IFERROR(F34+G34+H34+I34+J34+K34+L34+M34+N34+O34,0),"")</f>
        <v/>
      </c>
      <c r="Q34" s="62">
        <f>IF(A34&lt;&gt;"",IFERROR(VLOOKUP(A34,Agenda!A:N,14,0),0),"")</f>
        <v/>
      </c>
      <c r="R34" s="28">
        <f>IF(A34&lt;&gt;"",Q34-P34,"")</f>
        <v/>
      </c>
      <c r="S34" s="82">
        <f>IF(AND(A34&lt;&gt;"",Q34&lt;&gt;0),R34/Q34*100,"")</f>
        <v/>
      </c>
      <c r="T34" s="61" t="n"/>
    </row>
    <row r="35" ht="18" customHeight="1">
      <c r="A35" s="54" t="n"/>
      <c r="B35" s="70">
        <f>IF(A35&lt;&gt;"",IFERROR(VLOOKUP(A35,Agenda!A:E,5,0),"—"),"")</f>
        <v/>
      </c>
      <c r="C35" s="71">
        <f>IF(A35&lt;&gt;"",IFERROR(VLOOKUP(A35,Agenda!A:K,11,0),"—"),"")</f>
        <v/>
      </c>
      <c r="D35" s="83" t="n"/>
      <c r="E35" s="80">
        <f>IF(A35&lt;&gt;"",IF(C35="Pick Up",7,IF(C35="1.5 Cerrada",9,IF(C35="2.5",10,IF(C35="3.5",12,0)))),"")</f>
        <v/>
      </c>
      <c r="F35" s="28">
        <f>IF(AND(D35&lt;&gt;"",E35&lt;&gt;""),D35*E35,"")</f>
        <v/>
      </c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81">
        <f>IF(A35&lt;&gt;"",IFERROR(F35+G35+H35+I35+J35+K35+L35+M35+N35+O35,0),"")</f>
        <v/>
      </c>
      <c r="Q35" s="74">
        <f>IF(A35&lt;&gt;"",IFERROR(VLOOKUP(A35,Agenda!A:N,14,0),0),"")</f>
        <v/>
      </c>
      <c r="R35" s="28">
        <f>IF(A35&lt;&gt;"",Q35-P35,"")</f>
        <v/>
      </c>
      <c r="S35" s="84">
        <f>IF(AND(A35&lt;&gt;"",Q35&lt;&gt;0),R35/Q35*100,"")</f>
        <v/>
      </c>
      <c r="T35" s="73" t="n"/>
    </row>
    <row r="36" ht="18" customHeight="1">
      <c r="A36" s="54" t="n"/>
      <c r="B36" s="58">
        <f>IF(A36&lt;&gt;"",IFERROR(VLOOKUP(A36,Agenda!A:E,5,0),"—"),"")</f>
        <v/>
      </c>
      <c r="C36" s="59">
        <f>IF(A36&lt;&gt;"",IFERROR(VLOOKUP(A36,Agenda!A:K,11,0),"—"),"")</f>
        <v/>
      </c>
      <c r="D36" s="79" t="n"/>
      <c r="E36" s="80">
        <f>IF(A36&lt;&gt;"",IF(C36="Pick Up",7,IF(C36="1.5 Cerrada",9,IF(C36="2.5",10,IF(C36="3.5",12,0)))),"")</f>
        <v/>
      </c>
      <c r="F36" s="28">
        <f>IF(AND(D36&lt;&gt;"",E36&lt;&gt;""),D36*E36,"")</f>
        <v/>
      </c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81">
        <f>IF(A36&lt;&gt;"",IFERROR(F36+G36+H36+I36+J36+K36+L36+M36+N36+O36,0),"")</f>
        <v/>
      </c>
      <c r="Q36" s="62">
        <f>IF(A36&lt;&gt;"",IFERROR(VLOOKUP(A36,Agenda!A:N,14,0),0),"")</f>
        <v/>
      </c>
      <c r="R36" s="28">
        <f>IF(A36&lt;&gt;"",Q36-P36,"")</f>
        <v/>
      </c>
      <c r="S36" s="82">
        <f>IF(AND(A36&lt;&gt;"",Q36&lt;&gt;0),R36/Q36*100,"")</f>
        <v/>
      </c>
      <c r="T36" s="61" t="n"/>
    </row>
    <row r="37" ht="18" customHeight="1">
      <c r="A37" s="54" t="n"/>
      <c r="B37" s="70">
        <f>IF(A37&lt;&gt;"",IFERROR(VLOOKUP(A37,Agenda!A:E,5,0),"—"),"")</f>
        <v/>
      </c>
      <c r="C37" s="71">
        <f>IF(A37&lt;&gt;"",IFERROR(VLOOKUP(A37,Agenda!A:K,11,0),"—"),"")</f>
        <v/>
      </c>
      <c r="D37" s="83" t="n"/>
      <c r="E37" s="80">
        <f>IF(A37&lt;&gt;"",IF(C37="Pick Up",7,IF(C37="1.5 Cerrada",9,IF(C37="2.5",10,IF(C37="3.5",12,0)))),"")</f>
        <v/>
      </c>
      <c r="F37" s="28">
        <f>IF(AND(D37&lt;&gt;"",E37&lt;&gt;""),D37*E37,"")</f>
        <v/>
      </c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81">
        <f>IF(A37&lt;&gt;"",IFERROR(F37+G37+H37+I37+J37+K37+L37+M37+N37+O37,0),"")</f>
        <v/>
      </c>
      <c r="Q37" s="74">
        <f>IF(A37&lt;&gt;"",IFERROR(VLOOKUP(A37,Agenda!A:N,14,0),0),"")</f>
        <v/>
      </c>
      <c r="R37" s="28">
        <f>IF(A37&lt;&gt;"",Q37-P37,"")</f>
        <v/>
      </c>
      <c r="S37" s="84">
        <f>IF(AND(A37&lt;&gt;"",Q37&lt;&gt;0),R37/Q37*100,"")</f>
        <v/>
      </c>
      <c r="T37" s="73" t="n"/>
    </row>
    <row r="38" ht="18" customHeight="1">
      <c r="A38" s="54" t="n"/>
      <c r="B38" s="58">
        <f>IF(A38&lt;&gt;"",IFERROR(VLOOKUP(A38,Agenda!A:E,5,0),"—"),"")</f>
        <v/>
      </c>
      <c r="C38" s="59">
        <f>IF(A38&lt;&gt;"",IFERROR(VLOOKUP(A38,Agenda!A:K,11,0),"—"),"")</f>
        <v/>
      </c>
      <c r="D38" s="79" t="n"/>
      <c r="E38" s="80">
        <f>IF(A38&lt;&gt;"",IF(C38="Pick Up",7,IF(C38="1.5 Cerrada",9,IF(C38="2.5",10,IF(C38="3.5",12,0)))),"")</f>
        <v/>
      </c>
      <c r="F38" s="28">
        <f>IF(AND(D38&lt;&gt;"",E38&lt;&gt;""),D38*E38,"")</f>
        <v/>
      </c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81">
        <f>IF(A38&lt;&gt;"",IFERROR(F38+G38+H38+I38+J38+K38+L38+M38+N38+O38,0),"")</f>
        <v/>
      </c>
      <c r="Q38" s="62">
        <f>IF(A38&lt;&gt;"",IFERROR(VLOOKUP(A38,Agenda!A:N,14,0),0),"")</f>
        <v/>
      </c>
      <c r="R38" s="28">
        <f>IF(A38&lt;&gt;"",Q38-P38,"")</f>
        <v/>
      </c>
      <c r="S38" s="82">
        <f>IF(AND(A38&lt;&gt;"",Q38&lt;&gt;0),R38/Q38*100,"")</f>
        <v/>
      </c>
      <c r="T38" s="61" t="n"/>
    </row>
    <row r="39" ht="18" customHeight="1">
      <c r="A39" s="54" t="n"/>
      <c r="B39" s="70">
        <f>IF(A39&lt;&gt;"",IFERROR(VLOOKUP(A39,Agenda!A:E,5,0),"—"),"")</f>
        <v/>
      </c>
      <c r="C39" s="71">
        <f>IF(A39&lt;&gt;"",IFERROR(VLOOKUP(A39,Agenda!A:K,11,0),"—"),"")</f>
        <v/>
      </c>
      <c r="D39" s="83" t="n"/>
      <c r="E39" s="80">
        <f>IF(A39&lt;&gt;"",IF(C39="Pick Up",7,IF(C39="1.5 Cerrada",9,IF(C39="2.5",10,IF(C39="3.5",12,0)))),"")</f>
        <v/>
      </c>
      <c r="F39" s="28">
        <f>IF(AND(D39&lt;&gt;"",E39&lt;&gt;""),D39*E39,"")</f>
        <v/>
      </c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81">
        <f>IF(A39&lt;&gt;"",IFERROR(F39+G39+H39+I39+J39+K39+L39+M39+N39+O39,0),"")</f>
        <v/>
      </c>
      <c r="Q39" s="74">
        <f>IF(A39&lt;&gt;"",IFERROR(VLOOKUP(A39,Agenda!A:N,14,0),0),"")</f>
        <v/>
      </c>
      <c r="R39" s="28">
        <f>IF(A39&lt;&gt;"",Q39-P39,"")</f>
        <v/>
      </c>
      <c r="S39" s="84">
        <f>IF(AND(A39&lt;&gt;"",Q39&lt;&gt;0),R39/Q39*100,"")</f>
        <v/>
      </c>
      <c r="T39" s="73" t="n"/>
    </row>
    <row r="40" ht="18" customHeight="1">
      <c r="A40" s="54" t="n"/>
      <c r="B40" s="58">
        <f>IF(A40&lt;&gt;"",IFERROR(VLOOKUP(A40,Agenda!A:E,5,0),"—"),"")</f>
        <v/>
      </c>
      <c r="C40" s="59">
        <f>IF(A40&lt;&gt;"",IFERROR(VLOOKUP(A40,Agenda!A:K,11,0),"—"),"")</f>
        <v/>
      </c>
      <c r="D40" s="79" t="n"/>
      <c r="E40" s="80">
        <f>IF(A40&lt;&gt;"",IF(C40="Pick Up",7,IF(C40="1.5 Cerrada",9,IF(C40="2.5",10,IF(C40="3.5",12,0)))),"")</f>
        <v/>
      </c>
      <c r="F40" s="28">
        <f>IF(AND(D40&lt;&gt;"",E40&lt;&gt;""),D40*E40,"")</f>
        <v/>
      </c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81">
        <f>IF(A40&lt;&gt;"",IFERROR(F40+G40+H40+I40+J40+K40+L40+M40+N40+O40,0),"")</f>
        <v/>
      </c>
      <c r="Q40" s="62">
        <f>IF(A40&lt;&gt;"",IFERROR(VLOOKUP(A40,Agenda!A:N,14,0),0),"")</f>
        <v/>
      </c>
      <c r="R40" s="28">
        <f>IF(A40&lt;&gt;"",Q40-P40,"")</f>
        <v/>
      </c>
      <c r="S40" s="82">
        <f>IF(AND(A40&lt;&gt;"",Q40&lt;&gt;0),R40/Q40*100,"")</f>
        <v/>
      </c>
      <c r="T40" s="61" t="n"/>
    </row>
    <row r="41" ht="18" customHeight="1">
      <c r="A41" s="54" t="n"/>
      <c r="B41" s="70">
        <f>IF(A41&lt;&gt;"",IFERROR(VLOOKUP(A41,Agenda!A:E,5,0),"—"),"")</f>
        <v/>
      </c>
      <c r="C41" s="71">
        <f>IF(A41&lt;&gt;"",IFERROR(VLOOKUP(A41,Agenda!A:K,11,0),"—"),"")</f>
        <v/>
      </c>
      <c r="D41" s="83" t="n"/>
      <c r="E41" s="80">
        <f>IF(A41&lt;&gt;"",IF(C41="Pick Up",7,IF(C41="1.5 Cerrada",9,IF(C41="2.5",10,IF(C41="3.5",12,0)))),"")</f>
        <v/>
      </c>
      <c r="F41" s="28">
        <f>IF(AND(D41&lt;&gt;"",E41&lt;&gt;""),D41*E41,"")</f>
        <v/>
      </c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81">
        <f>IF(A41&lt;&gt;"",IFERROR(F41+G41+H41+I41+J41+K41+L41+M41+N41+O41,0),"")</f>
        <v/>
      </c>
      <c r="Q41" s="74">
        <f>IF(A41&lt;&gt;"",IFERROR(VLOOKUP(A41,Agenda!A:N,14,0),0),"")</f>
        <v/>
      </c>
      <c r="R41" s="28">
        <f>IF(A41&lt;&gt;"",Q41-P41,"")</f>
        <v/>
      </c>
      <c r="S41" s="84">
        <f>IF(AND(A41&lt;&gt;"",Q41&lt;&gt;0),R41/Q41*100,"")</f>
        <v/>
      </c>
      <c r="T41" s="73" t="n"/>
    </row>
    <row r="42" ht="18" customHeight="1">
      <c r="A42" s="54" t="n"/>
      <c r="B42" s="58">
        <f>IF(A42&lt;&gt;"",IFERROR(VLOOKUP(A42,Agenda!A:E,5,0),"—"),"")</f>
        <v/>
      </c>
      <c r="C42" s="59">
        <f>IF(A42&lt;&gt;"",IFERROR(VLOOKUP(A42,Agenda!A:K,11,0),"—"),"")</f>
        <v/>
      </c>
      <c r="D42" s="79" t="n"/>
      <c r="E42" s="80">
        <f>IF(A42&lt;&gt;"",IF(C42="Pick Up",7,IF(C42="1.5 Cerrada",9,IF(C42="2.5",10,IF(C42="3.5",12,0)))),"")</f>
        <v/>
      </c>
      <c r="F42" s="28">
        <f>IF(AND(D42&lt;&gt;"",E42&lt;&gt;""),D42*E42,"")</f>
        <v/>
      </c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81">
        <f>IF(A42&lt;&gt;"",IFERROR(F42+G42+H42+I42+J42+K42+L42+M42+N42+O42,0),"")</f>
        <v/>
      </c>
      <c r="Q42" s="62">
        <f>IF(A42&lt;&gt;"",IFERROR(VLOOKUP(A42,Agenda!A:N,14,0),0),"")</f>
        <v/>
      </c>
      <c r="R42" s="28">
        <f>IF(A42&lt;&gt;"",Q42-P42,"")</f>
        <v/>
      </c>
      <c r="S42" s="82">
        <f>IF(AND(A42&lt;&gt;"",Q42&lt;&gt;0),R42/Q42*100,"")</f>
        <v/>
      </c>
      <c r="T42" s="61" t="n"/>
    </row>
    <row r="43" ht="18" customHeight="1">
      <c r="A43" s="54" t="n"/>
      <c r="B43" s="70">
        <f>IF(A43&lt;&gt;"",IFERROR(VLOOKUP(A43,Agenda!A:E,5,0),"—"),"")</f>
        <v/>
      </c>
      <c r="C43" s="71">
        <f>IF(A43&lt;&gt;"",IFERROR(VLOOKUP(A43,Agenda!A:K,11,0),"—"),"")</f>
        <v/>
      </c>
      <c r="D43" s="83" t="n"/>
      <c r="E43" s="80">
        <f>IF(A43&lt;&gt;"",IF(C43="Pick Up",7,IF(C43="1.5 Cerrada",9,IF(C43="2.5",10,IF(C43="3.5",12,0)))),"")</f>
        <v/>
      </c>
      <c r="F43" s="28">
        <f>IF(AND(D43&lt;&gt;"",E43&lt;&gt;""),D43*E43,"")</f>
        <v/>
      </c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81">
        <f>IF(A43&lt;&gt;"",IFERROR(F43+G43+H43+I43+J43+K43+L43+M43+N43+O43,0),"")</f>
        <v/>
      </c>
      <c r="Q43" s="74">
        <f>IF(A43&lt;&gt;"",IFERROR(VLOOKUP(A43,Agenda!A:N,14,0),0),"")</f>
        <v/>
      </c>
      <c r="R43" s="28">
        <f>IF(A43&lt;&gt;"",Q43-P43,"")</f>
        <v/>
      </c>
      <c r="S43" s="84">
        <f>IF(AND(A43&lt;&gt;"",Q43&lt;&gt;0),R43/Q43*100,"")</f>
        <v/>
      </c>
      <c r="T43" s="73" t="n"/>
    </row>
    <row r="44" ht="18" customHeight="1">
      <c r="A44" s="54" t="n"/>
      <c r="B44" s="58">
        <f>IF(A44&lt;&gt;"",IFERROR(VLOOKUP(A44,Agenda!A:E,5,0),"—"),"")</f>
        <v/>
      </c>
      <c r="C44" s="59">
        <f>IF(A44&lt;&gt;"",IFERROR(VLOOKUP(A44,Agenda!A:K,11,0),"—"),"")</f>
        <v/>
      </c>
      <c r="D44" s="79" t="n"/>
      <c r="E44" s="80">
        <f>IF(A44&lt;&gt;"",IF(C44="Pick Up",7,IF(C44="1.5 Cerrada",9,IF(C44="2.5",10,IF(C44="3.5",12,0)))),"")</f>
        <v/>
      </c>
      <c r="F44" s="28">
        <f>IF(AND(D44&lt;&gt;"",E44&lt;&gt;""),D44*E44,"")</f>
        <v/>
      </c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81">
        <f>IF(A44&lt;&gt;"",IFERROR(F44+G44+H44+I44+J44+K44+L44+M44+N44+O44,0),"")</f>
        <v/>
      </c>
      <c r="Q44" s="62">
        <f>IF(A44&lt;&gt;"",IFERROR(VLOOKUP(A44,Agenda!A:N,14,0),0),"")</f>
        <v/>
      </c>
      <c r="R44" s="28">
        <f>IF(A44&lt;&gt;"",Q44-P44,"")</f>
        <v/>
      </c>
      <c r="S44" s="82">
        <f>IF(AND(A44&lt;&gt;"",Q44&lt;&gt;0),R44/Q44*100,"")</f>
        <v/>
      </c>
      <c r="T44" s="61" t="n"/>
    </row>
    <row r="45" ht="18" customHeight="1">
      <c r="A45" s="54" t="n"/>
      <c r="B45" s="70">
        <f>IF(A45&lt;&gt;"",IFERROR(VLOOKUP(A45,Agenda!A:E,5,0),"—"),"")</f>
        <v/>
      </c>
      <c r="C45" s="71">
        <f>IF(A45&lt;&gt;"",IFERROR(VLOOKUP(A45,Agenda!A:K,11,0),"—"),"")</f>
        <v/>
      </c>
      <c r="D45" s="83" t="n"/>
      <c r="E45" s="80">
        <f>IF(A45&lt;&gt;"",IF(C45="Pick Up",7,IF(C45="1.5 Cerrada",9,IF(C45="2.5",10,IF(C45="3.5",12,0)))),"")</f>
        <v/>
      </c>
      <c r="F45" s="28">
        <f>IF(AND(D45&lt;&gt;"",E45&lt;&gt;""),D45*E45,"")</f>
        <v/>
      </c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81">
        <f>IF(A45&lt;&gt;"",IFERROR(F45+G45+H45+I45+J45+K45+L45+M45+N45+O45,0),"")</f>
        <v/>
      </c>
      <c r="Q45" s="74">
        <f>IF(A45&lt;&gt;"",IFERROR(VLOOKUP(A45,Agenda!A:N,14,0),0),"")</f>
        <v/>
      </c>
      <c r="R45" s="28">
        <f>IF(A45&lt;&gt;"",Q45-P45,"")</f>
        <v/>
      </c>
      <c r="S45" s="84">
        <f>IF(AND(A45&lt;&gt;"",Q45&lt;&gt;0),R45/Q45*100,"")</f>
        <v/>
      </c>
      <c r="T45" s="73" t="n"/>
    </row>
    <row r="46" ht="18" customHeight="1">
      <c r="A46" s="54" t="n"/>
      <c r="B46" s="58">
        <f>IF(A46&lt;&gt;"",IFERROR(VLOOKUP(A46,Agenda!A:E,5,0),"—"),"")</f>
        <v/>
      </c>
      <c r="C46" s="59">
        <f>IF(A46&lt;&gt;"",IFERROR(VLOOKUP(A46,Agenda!A:K,11,0),"—"),"")</f>
        <v/>
      </c>
      <c r="D46" s="79" t="n"/>
      <c r="E46" s="80">
        <f>IF(A46&lt;&gt;"",IF(C46="Pick Up",7,IF(C46="1.5 Cerrada",9,IF(C46="2.5",10,IF(C46="3.5",12,0)))),"")</f>
        <v/>
      </c>
      <c r="F46" s="28">
        <f>IF(AND(D46&lt;&gt;"",E46&lt;&gt;""),D46*E46,"")</f>
        <v/>
      </c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81">
        <f>IF(A46&lt;&gt;"",IFERROR(F46+G46+H46+I46+J46+K46+L46+M46+N46+O46,0),"")</f>
        <v/>
      </c>
      <c r="Q46" s="62">
        <f>IF(A46&lt;&gt;"",IFERROR(VLOOKUP(A46,Agenda!A:N,14,0),0),"")</f>
        <v/>
      </c>
      <c r="R46" s="28">
        <f>IF(A46&lt;&gt;"",Q46-P46,"")</f>
        <v/>
      </c>
      <c r="S46" s="82">
        <f>IF(AND(A46&lt;&gt;"",Q46&lt;&gt;0),R46/Q46*100,"")</f>
        <v/>
      </c>
      <c r="T46" s="61" t="n"/>
    </row>
    <row r="47" ht="18" customHeight="1">
      <c r="A47" s="54" t="n"/>
      <c r="B47" s="70">
        <f>IF(A47&lt;&gt;"",IFERROR(VLOOKUP(A47,Agenda!A:E,5,0),"—"),"")</f>
        <v/>
      </c>
      <c r="C47" s="71">
        <f>IF(A47&lt;&gt;"",IFERROR(VLOOKUP(A47,Agenda!A:K,11,0),"—"),"")</f>
        <v/>
      </c>
      <c r="D47" s="83" t="n"/>
      <c r="E47" s="80">
        <f>IF(A47&lt;&gt;"",IF(C47="Pick Up",7,IF(C47="1.5 Cerrada",9,IF(C47="2.5",10,IF(C47="3.5",12,0)))),"")</f>
        <v/>
      </c>
      <c r="F47" s="28">
        <f>IF(AND(D47&lt;&gt;"",E47&lt;&gt;""),D47*E47,"")</f>
        <v/>
      </c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81">
        <f>IF(A47&lt;&gt;"",IFERROR(F47+G47+H47+I47+J47+K47+L47+M47+N47+O47,0),"")</f>
        <v/>
      </c>
      <c r="Q47" s="74">
        <f>IF(A47&lt;&gt;"",IFERROR(VLOOKUP(A47,Agenda!A:N,14,0),0),"")</f>
        <v/>
      </c>
      <c r="R47" s="28">
        <f>IF(A47&lt;&gt;"",Q47-P47,"")</f>
        <v/>
      </c>
      <c r="S47" s="84">
        <f>IF(AND(A47&lt;&gt;"",Q47&lt;&gt;0),R47/Q47*100,"")</f>
        <v/>
      </c>
      <c r="T47" s="73" t="n"/>
    </row>
    <row r="48" ht="18" customHeight="1">
      <c r="A48" s="54" t="n"/>
      <c r="B48" s="58">
        <f>IF(A48&lt;&gt;"",IFERROR(VLOOKUP(A48,Agenda!A:E,5,0),"—"),"")</f>
        <v/>
      </c>
      <c r="C48" s="59">
        <f>IF(A48&lt;&gt;"",IFERROR(VLOOKUP(A48,Agenda!A:K,11,0),"—"),"")</f>
        <v/>
      </c>
      <c r="D48" s="79" t="n"/>
      <c r="E48" s="80">
        <f>IF(A48&lt;&gt;"",IF(C48="Pick Up",7,IF(C48="1.5 Cerrada",9,IF(C48="2.5",10,IF(C48="3.5",12,0)))),"")</f>
        <v/>
      </c>
      <c r="F48" s="28">
        <f>IF(AND(D48&lt;&gt;"",E48&lt;&gt;""),D48*E48,"")</f>
        <v/>
      </c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81">
        <f>IF(A48&lt;&gt;"",IFERROR(F48+G48+H48+I48+J48+K48+L48+M48+N48+O48,0),"")</f>
        <v/>
      </c>
      <c r="Q48" s="62">
        <f>IF(A48&lt;&gt;"",IFERROR(VLOOKUP(A48,Agenda!A:N,14,0),0),"")</f>
        <v/>
      </c>
      <c r="R48" s="28">
        <f>IF(A48&lt;&gt;"",Q48-P48,"")</f>
        <v/>
      </c>
      <c r="S48" s="82">
        <f>IF(AND(A48&lt;&gt;"",Q48&lt;&gt;0),R48/Q48*100,"")</f>
        <v/>
      </c>
      <c r="T48" s="61" t="n"/>
    </row>
    <row r="49" ht="18" customHeight="1">
      <c r="A49" s="54" t="n"/>
      <c r="B49" s="70">
        <f>IF(A49&lt;&gt;"",IFERROR(VLOOKUP(A49,Agenda!A:E,5,0),"—"),"")</f>
        <v/>
      </c>
      <c r="C49" s="71">
        <f>IF(A49&lt;&gt;"",IFERROR(VLOOKUP(A49,Agenda!A:K,11,0),"—"),"")</f>
        <v/>
      </c>
      <c r="D49" s="83" t="n"/>
      <c r="E49" s="80">
        <f>IF(A49&lt;&gt;"",IF(C49="Pick Up",7,IF(C49="1.5 Cerrada",9,IF(C49="2.5",10,IF(C49="3.5",12,0)))),"")</f>
        <v/>
      </c>
      <c r="F49" s="28">
        <f>IF(AND(D49&lt;&gt;"",E49&lt;&gt;""),D49*E49,"")</f>
        <v/>
      </c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81">
        <f>IF(A49&lt;&gt;"",IFERROR(F49+G49+H49+I49+J49+K49+L49+M49+N49+O49,0),"")</f>
        <v/>
      </c>
      <c r="Q49" s="74">
        <f>IF(A49&lt;&gt;"",IFERROR(VLOOKUP(A49,Agenda!A:N,14,0),0),"")</f>
        <v/>
      </c>
      <c r="R49" s="28">
        <f>IF(A49&lt;&gt;"",Q49-P49,"")</f>
        <v/>
      </c>
      <c r="S49" s="84">
        <f>IF(AND(A49&lt;&gt;"",Q49&lt;&gt;0),R49/Q49*100,"")</f>
        <v/>
      </c>
      <c r="T49" s="73" t="n"/>
    </row>
    <row r="50" ht="18" customHeight="1">
      <c r="A50" s="54" t="n"/>
      <c r="B50" s="58">
        <f>IF(A50&lt;&gt;"",IFERROR(VLOOKUP(A50,Agenda!A:E,5,0),"—"),"")</f>
        <v/>
      </c>
      <c r="C50" s="59">
        <f>IF(A50&lt;&gt;"",IFERROR(VLOOKUP(A50,Agenda!A:K,11,0),"—"),"")</f>
        <v/>
      </c>
      <c r="D50" s="79" t="n"/>
      <c r="E50" s="80">
        <f>IF(A50&lt;&gt;"",IF(C50="Pick Up",7,IF(C50="1.5 Cerrada",9,IF(C50="2.5",10,IF(C50="3.5",12,0)))),"")</f>
        <v/>
      </c>
      <c r="F50" s="28">
        <f>IF(AND(D50&lt;&gt;"",E50&lt;&gt;""),D50*E50,"")</f>
        <v/>
      </c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81">
        <f>IF(A50&lt;&gt;"",IFERROR(F50+G50+H50+I50+J50+K50+L50+M50+N50+O50,0),"")</f>
        <v/>
      </c>
      <c r="Q50" s="62">
        <f>IF(A50&lt;&gt;"",IFERROR(VLOOKUP(A50,Agenda!A:N,14,0),0),"")</f>
        <v/>
      </c>
      <c r="R50" s="28">
        <f>IF(A50&lt;&gt;"",Q50-P50,"")</f>
        <v/>
      </c>
      <c r="S50" s="82">
        <f>IF(AND(A50&lt;&gt;"",Q50&lt;&gt;0),R50/Q50*100,"")</f>
        <v/>
      </c>
      <c r="T50" s="61" t="n"/>
    </row>
    <row r="51" ht="18" customHeight="1">
      <c r="A51" s="54" t="n"/>
      <c r="B51" s="70">
        <f>IF(A51&lt;&gt;"",IFERROR(VLOOKUP(A51,Agenda!A:E,5,0),"—"),"")</f>
        <v/>
      </c>
      <c r="C51" s="71">
        <f>IF(A51&lt;&gt;"",IFERROR(VLOOKUP(A51,Agenda!A:K,11,0),"—"),"")</f>
        <v/>
      </c>
      <c r="D51" s="83" t="n"/>
      <c r="E51" s="80">
        <f>IF(A51&lt;&gt;"",IF(C51="Pick Up",7,IF(C51="1.5 Cerrada",9,IF(C51="2.5",10,IF(C51="3.5",12,0)))),"")</f>
        <v/>
      </c>
      <c r="F51" s="28">
        <f>IF(AND(D51&lt;&gt;"",E51&lt;&gt;""),D51*E51,"")</f>
        <v/>
      </c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81">
        <f>IF(A51&lt;&gt;"",IFERROR(F51+G51+H51+I51+J51+K51+L51+M51+N51+O51,0),"")</f>
        <v/>
      </c>
      <c r="Q51" s="74">
        <f>IF(A51&lt;&gt;"",IFERROR(VLOOKUP(A51,Agenda!A:N,14,0),0),"")</f>
        <v/>
      </c>
      <c r="R51" s="28">
        <f>IF(A51&lt;&gt;"",Q51-P51,"")</f>
        <v/>
      </c>
      <c r="S51" s="84">
        <f>IF(AND(A51&lt;&gt;"",Q51&lt;&gt;0),R51/Q51*100,"")</f>
        <v/>
      </c>
      <c r="T51" s="73" t="n"/>
    </row>
    <row r="52" ht="18" customHeight="1">
      <c r="A52" s="54" t="n"/>
      <c r="B52" s="58">
        <f>IF(A52&lt;&gt;"",IFERROR(VLOOKUP(A52,Agenda!A:E,5,0),"—"),"")</f>
        <v/>
      </c>
      <c r="C52" s="59">
        <f>IF(A52&lt;&gt;"",IFERROR(VLOOKUP(A52,Agenda!A:K,11,0),"—"),"")</f>
        <v/>
      </c>
      <c r="D52" s="79" t="n"/>
      <c r="E52" s="80">
        <f>IF(A52&lt;&gt;"",IF(C52="Pick Up",7,IF(C52="1.5 Cerrada",9,IF(C52="2.5",10,IF(C52="3.5",12,0)))),"")</f>
        <v/>
      </c>
      <c r="F52" s="28">
        <f>IF(AND(D52&lt;&gt;"",E52&lt;&gt;""),D52*E52,"")</f>
        <v/>
      </c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81">
        <f>IF(A52&lt;&gt;"",IFERROR(F52+G52+H52+I52+J52+K52+L52+M52+N52+O52,0),"")</f>
        <v/>
      </c>
      <c r="Q52" s="62">
        <f>IF(A52&lt;&gt;"",IFERROR(VLOOKUP(A52,Agenda!A:N,14,0),0),"")</f>
        <v/>
      </c>
      <c r="R52" s="28">
        <f>IF(A52&lt;&gt;"",Q52-P52,"")</f>
        <v/>
      </c>
      <c r="S52" s="82">
        <f>IF(AND(A52&lt;&gt;"",Q52&lt;&gt;0),R52/Q52*100,"")</f>
        <v/>
      </c>
      <c r="T52" s="61" t="n"/>
    </row>
    <row r="53" ht="18" customHeight="1">
      <c r="A53" s="54" t="n"/>
      <c r="B53" s="70">
        <f>IF(A53&lt;&gt;"",IFERROR(VLOOKUP(A53,Agenda!A:E,5,0),"—"),"")</f>
        <v/>
      </c>
      <c r="C53" s="71">
        <f>IF(A53&lt;&gt;"",IFERROR(VLOOKUP(A53,Agenda!A:K,11,0),"—"),"")</f>
        <v/>
      </c>
      <c r="D53" s="83" t="n"/>
      <c r="E53" s="80">
        <f>IF(A53&lt;&gt;"",IF(C53="Pick Up",7,IF(C53="1.5 Cerrada",9,IF(C53="2.5",10,IF(C53="3.5",12,0)))),"")</f>
        <v/>
      </c>
      <c r="F53" s="28">
        <f>IF(AND(D53&lt;&gt;"",E53&lt;&gt;""),D53*E53,"")</f>
        <v/>
      </c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81">
        <f>IF(A53&lt;&gt;"",IFERROR(F53+G53+H53+I53+J53+K53+L53+M53+N53+O53,0),"")</f>
        <v/>
      </c>
      <c r="Q53" s="74">
        <f>IF(A53&lt;&gt;"",IFERROR(VLOOKUP(A53,Agenda!A:N,14,0),0),"")</f>
        <v/>
      </c>
      <c r="R53" s="28">
        <f>IF(A53&lt;&gt;"",Q53-P53,"")</f>
        <v/>
      </c>
      <c r="S53" s="84">
        <f>IF(AND(A53&lt;&gt;"",Q53&lt;&gt;0),R53/Q53*100,"")</f>
        <v/>
      </c>
      <c r="T53" s="73" t="n"/>
    </row>
    <row r="54" ht="18" customHeight="1">
      <c r="A54" s="54" t="n"/>
      <c r="B54" s="58">
        <f>IF(A54&lt;&gt;"",IFERROR(VLOOKUP(A54,Agenda!A:E,5,0),"—"),"")</f>
        <v/>
      </c>
      <c r="C54" s="59">
        <f>IF(A54&lt;&gt;"",IFERROR(VLOOKUP(A54,Agenda!A:K,11,0),"—"),"")</f>
        <v/>
      </c>
      <c r="D54" s="79" t="n"/>
      <c r="E54" s="80">
        <f>IF(A54&lt;&gt;"",IF(C54="Pick Up",7,IF(C54="1.5 Cerrada",9,IF(C54="2.5",10,IF(C54="3.5",12,0)))),"")</f>
        <v/>
      </c>
      <c r="F54" s="28">
        <f>IF(AND(D54&lt;&gt;"",E54&lt;&gt;""),D54*E54,"")</f>
        <v/>
      </c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81">
        <f>IF(A54&lt;&gt;"",IFERROR(F54+G54+H54+I54+J54+K54+L54+M54+N54+O54,0),"")</f>
        <v/>
      </c>
      <c r="Q54" s="62">
        <f>IF(A54&lt;&gt;"",IFERROR(VLOOKUP(A54,Agenda!A:N,14,0),0),"")</f>
        <v/>
      </c>
      <c r="R54" s="28">
        <f>IF(A54&lt;&gt;"",Q54-P54,"")</f>
        <v/>
      </c>
      <c r="S54" s="82">
        <f>IF(AND(A54&lt;&gt;"",Q54&lt;&gt;0),R54/Q54*100,"")</f>
        <v/>
      </c>
      <c r="T54" s="61" t="n"/>
    </row>
    <row r="55" ht="18" customHeight="1">
      <c r="A55" s="54" t="n"/>
      <c r="B55" s="70">
        <f>IF(A55&lt;&gt;"",IFERROR(VLOOKUP(A55,Agenda!A:E,5,0),"—"),"")</f>
        <v/>
      </c>
      <c r="C55" s="71">
        <f>IF(A55&lt;&gt;"",IFERROR(VLOOKUP(A55,Agenda!A:K,11,0),"—"),"")</f>
        <v/>
      </c>
      <c r="D55" s="83" t="n"/>
      <c r="E55" s="80">
        <f>IF(A55&lt;&gt;"",IF(C55="Pick Up",7,IF(C55="1.5 Cerrada",9,IF(C55="2.5",10,IF(C55="3.5",12,0)))),"")</f>
        <v/>
      </c>
      <c r="F55" s="28">
        <f>IF(AND(D55&lt;&gt;"",E55&lt;&gt;""),D55*E55,"")</f>
        <v/>
      </c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81">
        <f>IF(A55&lt;&gt;"",IFERROR(F55+G55+H55+I55+J55+K55+L55+M55+N55+O55,0),"")</f>
        <v/>
      </c>
      <c r="Q55" s="74">
        <f>IF(A55&lt;&gt;"",IFERROR(VLOOKUP(A55,Agenda!A:N,14,0),0),"")</f>
        <v/>
      </c>
      <c r="R55" s="28">
        <f>IF(A55&lt;&gt;"",Q55-P55,"")</f>
        <v/>
      </c>
      <c r="S55" s="84">
        <f>IF(AND(A55&lt;&gt;"",Q55&lt;&gt;0),R55/Q55*100,"")</f>
        <v/>
      </c>
      <c r="T55" s="73" t="n"/>
    </row>
    <row r="56" ht="18" customHeight="1">
      <c r="A56" s="54" t="n"/>
      <c r="B56" s="58">
        <f>IF(A56&lt;&gt;"",IFERROR(VLOOKUP(A56,Agenda!A:E,5,0),"—"),"")</f>
        <v/>
      </c>
      <c r="C56" s="59">
        <f>IF(A56&lt;&gt;"",IFERROR(VLOOKUP(A56,Agenda!A:K,11,0),"—"),"")</f>
        <v/>
      </c>
      <c r="D56" s="79" t="n"/>
      <c r="E56" s="80">
        <f>IF(A56&lt;&gt;"",IF(C56="Pick Up",7,IF(C56="1.5 Cerrada",9,IF(C56="2.5",10,IF(C56="3.5",12,0)))),"")</f>
        <v/>
      </c>
      <c r="F56" s="28">
        <f>IF(AND(D56&lt;&gt;"",E56&lt;&gt;""),D56*E56,"")</f>
        <v/>
      </c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81">
        <f>IF(A56&lt;&gt;"",IFERROR(F56+G56+H56+I56+J56+K56+L56+M56+N56+O56,0),"")</f>
        <v/>
      </c>
      <c r="Q56" s="62">
        <f>IF(A56&lt;&gt;"",IFERROR(VLOOKUP(A56,Agenda!A:N,14,0),0),"")</f>
        <v/>
      </c>
      <c r="R56" s="28">
        <f>IF(A56&lt;&gt;"",Q56-P56,"")</f>
        <v/>
      </c>
      <c r="S56" s="82">
        <f>IF(AND(A56&lt;&gt;"",Q56&lt;&gt;0),R56/Q56*100,"")</f>
        <v/>
      </c>
      <c r="T56" s="61" t="n"/>
    </row>
    <row r="57" ht="18" customHeight="1">
      <c r="A57" s="54" t="n"/>
      <c r="B57" s="70">
        <f>IF(A57&lt;&gt;"",IFERROR(VLOOKUP(A57,Agenda!A:E,5,0),"—"),"")</f>
        <v/>
      </c>
      <c r="C57" s="71">
        <f>IF(A57&lt;&gt;"",IFERROR(VLOOKUP(A57,Agenda!A:K,11,0),"—"),"")</f>
        <v/>
      </c>
      <c r="D57" s="83" t="n"/>
      <c r="E57" s="80">
        <f>IF(A57&lt;&gt;"",IF(C57="Pick Up",7,IF(C57="1.5 Cerrada",9,IF(C57="2.5",10,IF(C57="3.5",12,0)))),"")</f>
        <v/>
      </c>
      <c r="F57" s="28">
        <f>IF(AND(D57&lt;&gt;"",E57&lt;&gt;""),D57*E57,"")</f>
        <v/>
      </c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81">
        <f>IF(A57&lt;&gt;"",IFERROR(F57+G57+H57+I57+J57+K57+L57+M57+N57+O57,0),"")</f>
        <v/>
      </c>
      <c r="Q57" s="74">
        <f>IF(A57&lt;&gt;"",IFERROR(VLOOKUP(A57,Agenda!A:N,14,0),0),"")</f>
        <v/>
      </c>
      <c r="R57" s="28">
        <f>IF(A57&lt;&gt;"",Q57-P57,"")</f>
        <v/>
      </c>
      <c r="S57" s="84">
        <f>IF(AND(A57&lt;&gt;"",Q57&lt;&gt;0),R57/Q57*100,"")</f>
        <v/>
      </c>
      <c r="T57" s="73" t="n"/>
    </row>
    <row r="58" ht="18" customHeight="1">
      <c r="A58" s="54" t="n"/>
      <c r="B58" s="58">
        <f>IF(A58&lt;&gt;"",IFERROR(VLOOKUP(A58,Agenda!A:E,5,0),"—"),"")</f>
        <v/>
      </c>
      <c r="C58" s="59">
        <f>IF(A58&lt;&gt;"",IFERROR(VLOOKUP(A58,Agenda!A:K,11,0),"—"),"")</f>
        <v/>
      </c>
      <c r="D58" s="79" t="n"/>
      <c r="E58" s="80">
        <f>IF(A58&lt;&gt;"",IF(C58="Pick Up",7,IF(C58="1.5 Cerrada",9,IF(C58="2.5",10,IF(C58="3.5",12,0)))),"")</f>
        <v/>
      </c>
      <c r="F58" s="28">
        <f>IF(AND(D58&lt;&gt;"",E58&lt;&gt;""),D58*E58,"")</f>
        <v/>
      </c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81">
        <f>IF(A58&lt;&gt;"",IFERROR(F58+G58+H58+I58+J58+K58+L58+M58+N58+O58,0),"")</f>
        <v/>
      </c>
      <c r="Q58" s="62">
        <f>IF(A58&lt;&gt;"",IFERROR(VLOOKUP(A58,Agenda!A:N,14,0),0),"")</f>
        <v/>
      </c>
      <c r="R58" s="28">
        <f>IF(A58&lt;&gt;"",Q58-P58,"")</f>
        <v/>
      </c>
      <c r="S58" s="82">
        <f>IF(AND(A58&lt;&gt;"",Q58&lt;&gt;0),R58/Q58*100,"")</f>
        <v/>
      </c>
      <c r="T58" s="61" t="n"/>
    </row>
    <row r="59" ht="18" customHeight="1">
      <c r="A59" s="54" t="n"/>
      <c r="B59" s="70">
        <f>IF(A59&lt;&gt;"",IFERROR(VLOOKUP(A59,Agenda!A:E,5,0),"—"),"")</f>
        <v/>
      </c>
      <c r="C59" s="71">
        <f>IF(A59&lt;&gt;"",IFERROR(VLOOKUP(A59,Agenda!A:K,11,0),"—"),"")</f>
        <v/>
      </c>
      <c r="D59" s="83" t="n"/>
      <c r="E59" s="80">
        <f>IF(A59&lt;&gt;"",IF(C59="Pick Up",7,IF(C59="1.5 Cerrada",9,IF(C59="2.5",10,IF(C59="3.5",12,0)))),"")</f>
        <v/>
      </c>
      <c r="F59" s="28">
        <f>IF(AND(D59&lt;&gt;"",E59&lt;&gt;""),D59*E59,"")</f>
        <v/>
      </c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81">
        <f>IF(A59&lt;&gt;"",IFERROR(F59+G59+H59+I59+J59+K59+L59+M59+N59+O59,0),"")</f>
        <v/>
      </c>
      <c r="Q59" s="74">
        <f>IF(A59&lt;&gt;"",IFERROR(VLOOKUP(A59,Agenda!A:N,14,0),0),"")</f>
        <v/>
      </c>
      <c r="R59" s="28">
        <f>IF(A59&lt;&gt;"",Q59-P59,"")</f>
        <v/>
      </c>
      <c r="S59" s="84">
        <f>IF(AND(A59&lt;&gt;"",Q59&lt;&gt;0),R59/Q59*100,"")</f>
        <v/>
      </c>
      <c r="T59" s="73" t="n"/>
    </row>
    <row r="60" ht="18" customHeight="1">
      <c r="A60" s="54" t="n"/>
      <c r="B60" s="58">
        <f>IF(A60&lt;&gt;"",IFERROR(VLOOKUP(A60,Agenda!A:E,5,0),"—"),"")</f>
        <v/>
      </c>
      <c r="C60" s="59">
        <f>IF(A60&lt;&gt;"",IFERROR(VLOOKUP(A60,Agenda!A:K,11,0),"—"),"")</f>
        <v/>
      </c>
      <c r="D60" s="79" t="n"/>
      <c r="E60" s="80">
        <f>IF(A60&lt;&gt;"",IF(C60="Pick Up",7,IF(C60="1.5 Cerrada",9,IF(C60="2.5",10,IF(C60="3.5",12,0)))),"")</f>
        <v/>
      </c>
      <c r="F60" s="28">
        <f>IF(AND(D60&lt;&gt;"",E60&lt;&gt;""),D60*E60,"")</f>
        <v/>
      </c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81">
        <f>IF(A60&lt;&gt;"",IFERROR(F60+G60+H60+I60+J60+K60+L60+M60+N60+O60,0),"")</f>
        <v/>
      </c>
      <c r="Q60" s="62">
        <f>IF(A60&lt;&gt;"",IFERROR(VLOOKUP(A60,Agenda!A:N,14,0),0),"")</f>
        <v/>
      </c>
      <c r="R60" s="28">
        <f>IF(A60&lt;&gt;"",Q60-P60,"")</f>
        <v/>
      </c>
      <c r="S60" s="82">
        <f>IF(AND(A60&lt;&gt;"",Q60&lt;&gt;0),R60/Q60*100,"")</f>
        <v/>
      </c>
      <c r="T60" s="61" t="n"/>
    </row>
    <row r="61" ht="18" customHeight="1">
      <c r="A61" s="54" t="n"/>
      <c r="B61" s="70">
        <f>IF(A61&lt;&gt;"",IFERROR(VLOOKUP(A61,Agenda!A:E,5,0),"—"),"")</f>
        <v/>
      </c>
      <c r="C61" s="71">
        <f>IF(A61&lt;&gt;"",IFERROR(VLOOKUP(A61,Agenda!A:K,11,0),"—"),"")</f>
        <v/>
      </c>
      <c r="D61" s="83" t="n"/>
      <c r="E61" s="80">
        <f>IF(A61&lt;&gt;"",IF(C61="Pick Up",7,IF(C61="1.5 Cerrada",9,IF(C61="2.5",10,IF(C61="3.5",12,0)))),"")</f>
        <v/>
      </c>
      <c r="F61" s="28">
        <f>IF(AND(D61&lt;&gt;"",E61&lt;&gt;""),D61*E61,"")</f>
        <v/>
      </c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81">
        <f>IF(A61&lt;&gt;"",IFERROR(F61+G61+H61+I61+J61+K61+L61+M61+N61+O61,0),"")</f>
        <v/>
      </c>
      <c r="Q61" s="74">
        <f>IF(A61&lt;&gt;"",IFERROR(VLOOKUP(A61,Agenda!A:N,14,0),0),"")</f>
        <v/>
      </c>
      <c r="R61" s="28">
        <f>IF(A61&lt;&gt;"",Q61-P61,"")</f>
        <v/>
      </c>
      <c r="S61" s="84">
        <f>IF(AND(A61&lt;&gt;"",Q61&lt;&gt;0),R61/Q61*100,"")</f>
        <v/>
      </c>
      <c r="T61" s="73" t="n"/>
    </row>
    <row r="62" ht="18" customHeight="1">
      <c r="A62" s="54" t="n"/>
      <c r="B62" s="58">
        <f>IF(A62&lt;&gt;"",IFERROR(VLOOKUP(A62,Agenda!A:E,5,0),"—"),"")</f>
        <v/>
      </c>
      <c r="C62" s="59">
        <f>IF(A62&lt;&gt;"",IFERROR(VLOOKUP(A62,Agenda!A:K,11,0),"—"),"")</f>
        <v/>
      </c>
      <c r="D62" s="79" t="n"/>
      <c r="E62" s="80">
        <f>IF(A62&lt;&gt;"",IF(C62="Pick Up",7,IF(C62="1.5 Cerrada",9,IF(C62="2.5",10,IF(C62="3.5",12,0)))),"")</f>
        <v/>
      </c>
      <c r="F62" s="28">
        <f>IF(AND(D62&lt;&gt;"",E62&lt;&gt;""),D62*E62,"")</f>
        <v/>
      </c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81">
        <f>IF(A62&lt;&gt;"",IFERROR(F62+G62+H62+I62+J62+K62+L62+M62+N62+O62,0),"")</f>
        <v/>
      </c>
      <c r="Q62" s="62">
        <f>IF(A62&lt;&gt;"",IFERROR(VLOOKUP(A62,Agenda!A:N,14,0),0),"")</f>
        <v/>
      </c>
      <c r="R62" s="28">
        <f>IF(A62&lt;&gt;"",Q62-P62,"")</f>
        <v/>
      </c>
      <c r="S62" s="82">
        <f>IF(AND(A62&lt;&gt;"",Q62&lt;&gt;0),R62/Q62*100,"")</f>
        <v/>
      </c>
      <c r="T62" s="61" t="n"/>
    </row>
    <row r="63" ht="18" customHeight="1">
      <c r="A63" s="54" t="n"/>
      <c r="B63" s="70">
        <f>IF(A63&lt;&gt;"",IFERROR(VLOOKUP(A63,Agenda!A:E,5,0),"—"),"")</f>
        <v/>
      </c>
      <c r="C63" s="71">
        <f>IF(A63&lt;&gt;"",IFERROR(VLOOKUP(A63,Agenda!A:K,11,0),"—"),"")</f>
        <v/>
      </c>
      <c r="D63" s="83" t="n"/>
      <c r="E63" s="80">
        <f>IF(A63&lt;&gt;"",IF(C63="Pick Up",7,IF(C63="1.5 Cerrada",9,IF(C63="2.5",10,IF(C63="3.5",12,0)))),"")</f>
        <v/>
      </c>
      <c r="F63" s="28">
        <f>IF(AND(D63&lt;&gt;"",E63&lt;&gt;""),D63*E63,"")</f>
        <v/>
      </c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81">
        <f>IF(A63&lt;&gt;"",IFERROR(F63+G63+H63+I63+J63+K63+L63+M63+N63+O63,0),"")</f>
        <v/>
      </c>
      <c r="Q63" s="74">
        <f>IF(A63&lt;&gt;"",IFERROR(VLOOKUP(A63,Agenda!A:N,14,0),0),"")</f>
        <v/>
      </c>
      <c r="R63" s="28">
        <f>IF(A63&lt;&gt;"",Q63-P63,"")</f>
        <v/>
      </c>
      <c r="S63" s="84">
        <f>IF(AND(A63&lt;&gt;"",Q63&lt;&gt;0),R63/Q63*100,"")</f>
        <v/>
      </c>
      <c r="T63" s="73" t="n"/>
    </row>
    <row r="64" ht="18" customHeight="1">
      <c r="A64" s="54" t="n"/>
      <c r="B64" s="58">
        <f>IF(A64&lt;&gt;"",IFERROR(VLOOKUP(A64,Agenda!A:E,5,0),"—"),"")</f>
        <v/>
      </c>
      <c r="C64" s="59">
        <f>IF(A64&lt;&gt;"",IFERROR(VLOOKUP(A64,Agenda!A:K,11,0),"—"),"")</f>
        <v/>
      </c>
      <c r="D64" s="79" t="n"/>
      <c r="E64" s="80">
        <f>IF(A64&lt;&gt;"",IF(C64="Pick Up",7,IF(C64="1.5 Cerrada",9,IF(C64="2.5",10,IF(C64="3.5",12,0)))),"")</f>
        <v/>
      </c>
      <c r="F64" s="28">
        <f>IF(AND(D64&lt;&gt;"",E64&lt;&gt;""),D64*E64,"")</f>
        <v/>
      </c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81">
        <f>IF(A64&lt;&gt;"",IFERROR(F64+G64+H64+I64+J64+K64+L64+M64+N64+O64,0),"")</f>
        <v/>
      </c>
      <c r="Q64" s="62">
        <f>IF(A64&lt;&gt;"",IFERROR(VLOOKUP(A64,Agenda!A:N,14,0),0),"")</f>
        <v/>
      </c>
      <c r="R64" s="28">
        <f>IF(A64&lt;&gt;"",Q64-P64,"")</f>
        <v/>
      </c>
      <c r="S64" s="82">
        <f>IF(AND(A64&lt;&gt;"",Q64&lt;&gt;0),R64/Q64*100,"")</f>
        <v/>
      </c>
      <c r="T64" s="61" t="n"/>
    </row>
    <row r="65" ht="18" customHeight="1">
      <c r="A65" s="54" t="n"/>
      <c r="B65" s="70">
        <f>IF(A65&lt;&gt;"",IFERROR(VLOOKUP(A65,Agenda!A:E,5,0),"—"),"")</f>
        <v/>
      </c>
      <c r="C65" s="71">
        <f>IF(A65&lt;&gt;"",IFERROR(VLOOKUP(A65,Agenda!A:K,11,0),"—"),"")</f>
        <v/>
      </c>
      <c r="D65" s="83" t="n"/>
      <c r="E65" s="80">
        <f>IF(A65&lt;&gt;"",IF(C65="Pick Up",7,IF(C65="1.5 Cerrada",9,IF(C65="2.5",10,IF(C65="3.5",12,0)))),"")</f>
        <v/>
      </c>
      <c r="F65" s="28">
        <f>IF(AND(D65&lt;&gt;"",E65&lt;&gt;""),D65*E65,"")</f>
        <v/>
      </c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81">
        <f>IF(A65&lt;&gt;"",IFERROR(F65+G65+H65+I65+J65+K65+L65+M65+N65+O65,0),"")</f>
        <v/>
      </c>
      <c r="Q65" s="74">
        <f>IF(A65&lt;&gt;"",IFERROR(VLOOKUP(A65,Agenda!A:N,14,0),0),"")</f>
        <v/>
      </c>
      <c r="R65" s="28">
        <f>IF(A65&lt;&gt;"",Q65-P65,"")</f>
        <v/>
      </c>
      <c r="S65" s="84">
        <f>IF(AND(A65&lt;&gt;"",Q65&lt;&gt;0),R65/Q65*100,"")</f>
        <v/>
      </c>
      <c r="T65" s="73" t="n"/>
    </row>
    <row r="66" ht="18" customHeight="1">
      <c r="A66" s="54" t="n"/>
      <c r="B66" s="58">
        <f>IF(A66&lt;&gt;"",IFERROR(VLOOKUP(A66,Agenda!A:E,5,0),"—"),"")</f>
        <v/>
      </c>
      <c r="C66" s="59">
        <f>IF(A66&lt;&gt;"",IFERROR(VLOOKUP(A66,Agenda!A:K,11,0),"—"),"")</f>
        <v/>
      </c>
      <c r="D66" s="79" t="n"/>
      <c r="E66" s="80">
        <f>IF(A66&lt;&gt;"",IF(C66="Pick Up",7,IF(C66="1.5 Cerrada",9,IF(C66="2.5",10,IF(C66="3.5",12,0)))),"")</f>
        <v/>
      </c>
      <c r="F66" s="28">
        <f>IF(AND(D66&lt;&gt;"",E66&lt;&gt;""),D66*E66,"")</f>
        <v/>
      </c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81">
        <f>IF(A66&lt;&gt;"",IFERROR(F66+G66+H66+I66+J66+K66+L66+M66+N66+O66,0),"")</f>
        <v/>
      </c>
      <c r="Q66" s="62">
        <f>IF(A66&lt;&gt;"",IFERROR(VLOOKUP(A66,Agenda!A:N,14,0),0),"")</f>
        <v/>
      </c>
      <c r="R66" s="28">
        <f>IF(A66&lt;&gt;"",Q66-P66,"")</f>
        <v/>
      </c>
      <c r="S66" s="82">
        <f>IF(AND(A66&lt;&gt;"",Q66&lt;&gt;0),R66/Q66*100,"")</f>
        <v/>
      </c>
      <c r="T66" s="61" t="n"/>
    </row>
    <row r="67" ht="18" customHeight="1">
      <c r="A67" s="54" t="n"/>
      <c r="B67" s="70">
        <f>IF(A67&lt;&gt;"",IFERROR(VLOOKUP(A67,Agenda!A:E,5,0),"—"),"")</f>
        <v/>
      </c>
      <c r="C67" s="71">
        <f>IF(A67&lt;&gt;"",IFERROR(VLOOKUP(A67,Agenda!A:K,11,0),"—"),"")</f>
        <v/>
      </c>
      <c r="D67" s="83" t="n"/>
      <c r="E67" s="80">
        <f>IF(A67&lt;&gt;"",IF(C67="Pick Up",7,IF(C67="1.5 Cerrada",9,IF(C67="2.5",10,IF(C67="3.5",12,0)))),"")</f>
        <v/>
      </c>
      <c r="F67" s="28">
        <f>IF(AND(D67&lt;&gt;"",E67&lt;&gt;""),D67*E67,"")</f>
        <v/>
      </c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81">
        <f>IF(A67&lt;&gt;"",IFERROR(F67+G67+H67+I67+J67+K67+L67+M67+N67+O67,0),"")</f>
        <v/>
      </c>
      <c r="Q67" s="74">
        <f>IF(A67&lt;&gt;"",IFERROR(VLOOKUP(A67,Agenda!A:N,14,0),0),"")</f>
        <v/>
      </c>
      <c r="R67" s="28">
        <f>IF(A67&lt;&gt;"",Q67-P67,"")</f>
        <v/>
      </c>
      <c r="S67" s="84">
        <f>IF(AND(A67&lt;&gt;"",Q67&lt;&gt;0),R67/Q67*100,"")</f>
        <v/>
      </c>
      <c r="T67" s="73" t="n"/>
    </row>
    <row r="68" ht="18" customHeight="1">
      <c r="A68" s="54" t="n"/>
      <c r="B68" s="58">
        <f>IF(A68&lt;&gt;"",IFERROR(VLOOKUP(A68,Agenda!A:E,5,0),"—"),"")</f>
        <v/>
      </c>
      <c r="C68" s="59">
        <f>IF(A68&lt;&gt;"",IFERROR(VLOOKUP(A68,Agenda!A:K,11,0),"—"),"")</f>
        <v/>
      </c>
      <c r="D68" s="79" t="n"/>
      <c r="E68" s="80">
        <f>IF(A68&lt;&gt;"",IF(C68="Pick Up",7,IF(C68="1.5 Cerrada",9,IF(C68="2.5",10,IF(C68="3.5",12,0)))),"")</f>
        <v/>
      </c>
      <c r="F68" s="28">
        <f>IF(AND(D68&lt;&gt;"",E68&lt;&gt;""),D68*E68,"")</f>
        <v/>
      </c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81">
        <f>IF(A68&lt;&gt;"",IFERROR(F68+G68+H68+I68+J68+K68+L68+M68+N68+O68,0),"")</f>
        <v/>
      </c>
      <c r="Q68" s="62">
        <f>IF(A68&lt;&gt;"",IFERROR(VLOOKUP(A68,Agenda!A:N,14,0),0),"")</f>
        <v/>
      </c>
      <c r="R68" s="28">
        <f>IF(A68&lt;&gt;"",Q68-P68,"")</f>
        <v/>
      </c>
      <c r="S68" s="82">
        <f>IF(AND(A68&lt;&gt;"",Q68&lt;&gt;0),R68/Q68*100,"")</f>
        <v/>
      </c>
      <c r="T68" s="61" t="n"/>
    </row>
    <row r="69" ht="18" customHeight="1">
      <c r="A69" s="54" t="n"/>
      <c r="B69" s="70">
        <f>IF(A69&lt;&gt;"",IFERROR(VLOOKUP(A69,Agenda!A:E,5,0),"—"),"")</f>
        <v/>
      </c>
      <c r="C69" s="71">
        <f>IF(A69&lt;&gt;"",IFERROR(VLOOKUP(A69,Agenda!A:K,11,0),"—"),"")</f>
        <v/>
      </c>
      <c r="D69" s="83" t="n"/>
      <c r="E69" s="80">
        <f>IF(A69&lt;&gt;"",IF(C69="Pick Up",7,IF(C69="1.5 Cerrada",9,IF(C69="2.5",10,IF(C69="3.5",12,0)))),"")</f>
        <v/>
      </c>
      <c r="F69" s="28">
        <f>IF(AND(D69&lt;&gt;"",E69&lt;&gt;""),D69*E69,"")</f>
        <v/>
      </c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81">
        <f>IF(A69&lt;&gt;"",IFERROR(F69+G69+H69+I69+J69+K69+L69+M69+N69+O69,0),"")</f>
        <v/>
      </c>
      <c r="Q69" s="74">
        <f>IF(A69&lt;&gt;"",IFERROR(VLOOKUP(A69,Agenda!A:N,14,0),0),"")</f>
        <v/>
      </c>
      <c r="R69" s="28">
        <f>IF(A69&lt;&gt;"",Q69-P69,"")</f>
        <v/>
      </c>
      <c r="S69" s="84">
        <f>IF(AND(A69&lt;&gt;"",Q69&lt;&gt;0),R69/Q69*100,"")</f>
        <v/>
      </c>
      <c r="T69" s="73" t="n"/>
    </row>
    <row r="70" ht="18" customHeight="1">
      <c r="A70" s="54" t="n"/>
      <c r="B70" s="58">
        <f>IF(A70&lt;&gt;"",IFERROR(VLOOKUP(A70,Agenda!A:E,5,0),"—"),"")</f>
        <v/>
      </c>
      <c r="C70" s="59">
        <f>IF(A70&lt;&gt;"",IFERROR(VLOOKUP(A70,Agenda!A:K,11,0),"—"),"")</f>
        <v/>
      </c>
      <c r="D70" s="79" t="n"/>
      <c r="E70" s="80">
        <f>IF(A70&lt;&gt;"",IF(C70="Pick Up",7,IF(C70="1.5 Cerrada",9,IF(C70="2.5",10,IF(C70="3.5",12,0)))),"")</f>
        <v/>
      </c>
      <c r="F70" s="28">
        <f>IF(AND(D70&lt;&gt;"",E70&lt;&gt;""),D70*E70,"")</f>
        <v/>
      </c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81">
        <f>IF(A70&lt;&gt;"",IFERROR(F70+G70+H70+I70+J70+K70+L70+M70+N70+O70,0),"")</f>
        <v/>
      </c>
      <c r="Q70" s="62">
        <f>IF(A70&lt;&gt;"",IFERROR(VLOOKUP(A70,Agenda!A:N,14,0),0),"")</f>
        <v/>
      </c>
      <c r="R70" s="28">
        <f>IF(A70&lt;&gt;"",Q70-P70,"")</f>
        <v/>
      </c>
      <c r="S70" s="82">
        <f>IF(AND(A70&lt;&gt;"",Q70&lt;&gt;0),R70/Q70*100,"")</f>
        <v/>
      </c>
      <c r="T70" s="61" t="n"/>
    </row>
    <row r="71" ht="18" customHeight="1">
      <c r="A71" s="54" t="n"/>
      <c r="B71" s="70">
        <f>IF(A71&lt;&gt;"",IFERROR(VLOOKUP(A71,Agenda!A:E,5,0),"—"),"")</f>
        <v/>
      </c>
      <c r="C71" s="71">
        <f>IF(A71&lt;&gt;"",IFERROR(VLOOKUP(A71,Agenda!A:K,11,0),"—"),"")</f>
        <v/>
      </c>
      <c r="D71" s="83" t="n"/>
      <c r="E71" s="80">
        <f>IF(A71&lt;&gt;"",IF(C71="Pick Up",7,IF(C71="1.5 Cerrada",9,IF(C71="2.5",10,IF(C71="3.5",12,0)))),"")</f>
        <v/>
      </c>
      <c r="F71" s="28">
        <f>IF(AND(D71&lt;&gt;"",E71&lt;&gt;""),D71*E71,"")</f>
        <v/>
      </c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81">
        <f>IF(A71&lt;&gt;"",IFERROR(F71+G71+H71+I71+J71+K71+L71+M71+N71+O71,0),"")</f>
        <v/>
      </c>
      <c r="Q71" s="74">
        <f>IF(A71&lt;&gt;"",IFERROR(VLOOKUP(A71,Agenda!A:N,14,0),0),"")</f>
        <v/>
      </c>
      <c r="R71" s="28">
        <f>IF(A71&lt;&gt;"",Q71-P71,"")</f>
        <v/>
      </c>
      <c r="S71" s="84">
        <f>IF(AND(A71&lt;&gt;"",Q71&lt;&gt;0),R71/Q71*100,"")</f>
        <v/>
      </c>
      <c r="T71" s="73" t="n"/>
    </row>
    <row r="72" ht="18" customHeight="1">
      <c r="A72" s="54" t="n"/>
      <c r="B72" s="58">
        <f>IF(A72&lt;&gt;"",IFERROR(VLOOKUP(A72,Agenda!A:E,5,0),"—"),"")</f>
        <v/>
      </c>
      <c r="C72" s="59">
        <f>IF(A72&lt;&gt;"",IFERROR(VLOOKUP(A72,Agenda!A:K,11,0),"—"),"")</f>
        <v/>
      </c>
      <c r="D72" s="79" t="n"/>
      <c r="E72" s="80">
        <f>IF(A72&lt;&gt;"",IF(C72="Pick Up",7,IF(C72="1.5 Cerrada",9,IF(C72="2.5",10,IF(C72="3.5",12,0)))),"")</f>
        <v/>
      </c>
      <c r="F72" s="28">
        <f>IF(AND(D72&lt;&gt;"",E72&lt;&gt;""),D72*E72,"")</f>
        <v/>
      </c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81">
        <f>IF(A72&lt;&gt;"",IFERROR(F72+G72+H72+I72+J72+K72+L72+M72+N72+O72,0),"")</f>
        <v/>
      </c>
      <c r="Q72" s="62">
        <f>IF(A72&lt;&gt;"",IFERROR(VLOOKUP(A72,Agenda!A:N,14,0),0),"")</f>
        <v/>
      </c>
      <c r="R72" s="28">
        <f>IF(A72&lt;&gt;"",Q72-P72,"")</f>
        <v/>
      </c>
      <c r="S72" s="82">
        <f>IF(AND(A72&lt;&gt;"",Q72&lt;&gt;0),R72/Q72*100,"")</f>
        <v/>
      </c>
      <c r="T72" s="61" t="n"/>
    </row>
    <row r="73" ht="18" customHeight="1">
      <c r="A73" s="54" t="n"/>
      <c r="B73" s="70">
        <f>IF(A73&lt;&gt;"",IFERROR(VLOOKUP(A73,Agenda!A:E,5,0),"—"),"")</f>
        <v/>
      </c>
      <c r="C73" s="71">
        <f>IF(A73&lt;&gt;"",IFERROR(VLOOKUP(A73,Agenda!A:K,11,0),"—"),"")</f>
        <v/>
      </c>
      <c r="D73" s="83" t="n"/>
      <c r="E73" s="80">
        <f>IF(A73&lt;&gt;"",IF(C73="Pick Up",7,IF(C73="1.5 Cerrada",9,IF(C73="2.5",10,IF(C73="3.5",12,0)))),"")</f>
        <v/>
      </c>
      <c r="F73" s="28">
        <f>IF(AND(D73&lt;&gt;"",E73&lt;&gt;""),D73*E73,"")</f>
        <v/>
      </c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81">
        <f>IF(A73&lt;&gt;"",IFERROR(F73+G73+H73+I73+J73+K73+L73+M73+N73+O73,0),"")</f>
        <v/>
      </c>
      <c r="Q73" s="74">
        <f>IF(A73&lt;&gt;"",IFERROR(VLOOKUP(A73,Agenda!A:N,14,0),0),"")</f>
        <v/>
      </c>
      <c r="R73" s="28">
        <f>IF(A73&lt;&gt;"",Q73-P73,"")</f>
        <v/>
      </c>
      <c r="S73" s="84">
        <f>IF(AND(A73&lt;&gt;"",Q73&lt;&gt;0),R73/Q73*100,"")</f>
        <v/>
      </c>
      <c r="T73" s="73" t="n"/>
    </row>
    <row r="74" ht="18" customHeight="1">
      <c r="A74" s="54" t="n"/>
      <c r="B74" s="58">
        <f>IF(A74&lt;&gt;"",IFERROR(VLOOKUP(A74,Agenda!A:E,5,0),"—"),"")</f>
        <v/>
      </c>
      <c r="C74" s="59">
        <f>IF(A74&lt;&gt;"",IFERROR(VLOOKUP(A74,Agenda!A:K,11,0),"—"),"")</f>
        <v/>
      </c>
      <c r="D74" s="79" t="n"/>
      <c r="E74" s="80">
        <f>IF(A74&lt;&gt;"",IF(C74="Pick Up",7,IF(C74="1.5 Cerrada",9,IF(C74="2.5",10,IF(C74="3.5",12,0)))),"")</f>
        <v/>
      </c>
      <c r="F74" s="28">
        <f>IF(AND(D74&lt;&gt;"",E74&lt;&gt;""),D74*E74,"")</f>
        <v/>
      </c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81">
        <f>IF(A74&lt;&gt;"",IFERROR(F74+G74+H74+I74+J74+K74+L74+M74+N74+O74,0),"")</f>
        <v/>
      </c>
      <c r="Q74" s="62">
        <f>IF(A74&lt;&gt;"",IFERROR(VLOOKUP(A74,Agenda!A:N,14,0),0),"")</f>
        <v/>
      </c>
      <c r="R74" s="28">
        <f>IF(A74&lt;&gt;"",Q74-P74,"")</f>
        <v/>
      </c>
      <c r="S74" s="82">
        <f>IF(AND(A74&lt;&gt;"",Q74&lt;&gt;0),R74/Q74*100,"")</f>
        <v/>
      </c>
      <c r="T74" s="61" t="n"/>
    </row>
    <row r="75" ht="18" customHeight="1">
      <c r="A75" s="54" t="n"/>
      <c r="B75" s="70">
        <f>IF(A75&lt;&gt;"",IFERROR(VLOOKUP(A75,Agenda!A:E,5,0),"—"),"")</f>
        <v/>
      </c>
      <c r="C75" s="71">
        <f>IF(A75&lt;&gt;"",IFERROR(VLOOKUP(A75,Agenda!A:K,11,0),"—"),"")</f>
        <v/>
      </c>
      <c r="D75" s="83" t="n"/>
      <c r="E75" s="80">
        <f>IF(A75&lt;&gt;"",IF(C75="Pick Up",7,IF(C75="1.5 Cerrada",9,IF(C75="2.5",10,IF(C75="3.5",12,0)))),"")</f>
        <v/>
      </c>
      <c r="F75" s="28">
        <f>IF(AND(D75&lt;&gt;"",E75&lt;&gt;""),D75*E75,"")</f>
        <v/>
      </c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81">
        <f>IF(A75&lt;&gt;"",IFERROR(F75+G75+H75+I75+J75+K75+L75+M75+N75+O75,0),"")</f>
        <v/>
      </c>
      <c r="Q75" s="74">
        <f>IF(A75&lt;&gt;"",IFERROR(VLOOKUP(A75,Agenda!A:N,14,0),0),"")</f>
        <v/>
      </c>
      <c r="R75" s="28">
        <f>IF(A75&lt;&gt;"",Q75-P75,"")</f>
        <v/>
      </c>
      <c r="S75" s="84">
        <f>IF(AND(A75&lt;&gt;"",Q75&lt;&gt;0),R75/Q75*100,"")</f>
        <v/>
      </c>
      <c r="T75" s="73" t="n"/>
    </row>
    <row r="76" ht="18" customHeight="1">
      <c r="A76" s="54" t="n"/>
      <c r="B76" s="58">
        <f>IF(A76&lt;&gt;"",IFERROR(VLOOKUP(A76,Agenda!A:E,5,0),"—"),"")</f>
        <v/>
      </c>
      <c r="C76" s="59">
        <f>IF(A76&lt;&gt;"",IFERROR(VLOOKUP(A76,Agenda!A:K,11,0),"—"),"")</f>
        <v/>
      </c>
      <c r="D76" s="79" t="n"/>
      <c r="E76" s="80">
        <f>IF(A76&lt;&gt;"",IF(C76="Pick Up",7,IF(C76="1.5 Cerrada",9,IF(C76="2.5",10,IF(C76="3.5",12,0)))),"")</f>
        <v/>
      </c>
      <c r="F76" s="28">
        <f>IF(AND(D76&lt;&gt;"",E76&lt;&gt;""),D76*E76,"")</f>
        <v/>
      </c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81">
        <f>IF(A76&lt;&gt;"",IFERROR(F76+G76+H76+I76+J76+K76+L76+M76+N76+O76,0),"")</f>
        <v/>
      </c>
      <c r="Q76" s="62">
        <f>IF(A76&lt;&gt;"",IFERROR(VLOOKUP(A76,Agenda!A:N,14,0),0),"")</f>
        <v/>
      </c>
      <c r="R76" s="28">
        <f>IF(A76&lt;&gt;"",Q76-P76,"")</f>
        <v/>
      </c>
      <c r="S76" s="82">
        <f>IF(AND(A76&lt;&gt;"",Q76&lt;&gt;0),R76/Q76*100,"")</f>
        <v/>
      </c>
      <c r="T76" s="61" t="n"/>
    </row>
    <row r="77" ht="18" customHeight="1">
      <c r="A77" s="54" t="n"/>
      <c r="B77" s="70">
        <f>IF(A77&lt;&gt;"",IFERROR(VLOOKUP(A77,Agenda!A:E,5,0),"—"),"")</f>
        <v/>
      </c>
      <c r="C77" s="71">
        <f>IF(A77&lt;&gt;"",IFERROR(VLOOKUP(A77,Agenda!A:K,11,0),"—"),"")</f>
        <v/>
      </c>
      <c r="D77" s="83" t="n"/>
      <c r="E77" s="80">
        <f>IF(A77&lt;&gt;"",IF(C77="Pick Up",7,IF(C77="1.5 Cerrada",9,IF(C77="2.5",10,IF(C77="3.5",12,0)))),"")</f>
        <v/>
      </c>
      <c r="F77" s="28">
        <f>IF(AND(D77&lt;&gt;"",E77&lt;&gt;""),D77*E77,"")</f>
        <v/>
      </c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81">
        <f>IF(A77&lt;&gt;"",IFERROR(F77+G77+H77+I77+J77+K77+L77+M77+N77+O77,0),"")</f>
        <v/>
      </c>
      <c r="Q77" s="74">
        <f>IF(A77&lt;&gt;"",IFERROR(VLOOKUP(A77,Agenda!A:N,14,0),0),"")</f>
        <v/>
      </c>
      <c r="R77" s="28">
        <f>IF(A77&lt;&gt;"",Q77-P77,"")</f>
        <v/>
      </c>
      <c r="S77" s="84">
        <f>IF(AND(A77&lt;&gt;"",Q77&lt;&gt;0),R77/Q77*100,"")</f>
        <v/>
      </c>
      <c r="T77" s="73" t="n"/>
    </row>
    <row r="78" ht="18" customHeight="1">
      <c r="A78" s="54" t="n"/>
      <c r="B78" s="58">
        <f>IF(A78&lt;&gt;"",IFERROR(VLOOKUP(A78,Agenda!A:E,5,0),"—"),"")</f>
        <v/>
      </c>
      <c r="C78" s="59">
        <f>IF(A78&lt;&gt;"",IFERROR(VLOOKUP(A78,Agenda!A:K,11,0),"—"),"")</f>
        <v/>
      </c>
      <c r="D78" s="79" t="n"/>
      <c r="E78" s="80">
        <f>IF(A78&lt;&gt;"",IF(C78="Pick Up",7,IF(C78="1.5 Cerrada",9,IF(C78="2.5",10,IF(C78="3.5",12,0)))),"")</f>
        <v/>
      </c>
      <c r="F78" s="28">
        <f>IF(AND(D78&lt;&gt;"",E78&lt;&gt;""),D78*E78,"")</f>
        <v/>
      </c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81">
        <f>IF(A78&lt;&gt;"",IFERROR(F78+G78+H78+I78+J78+K78+L78+M78+N78+O78,0),"")</f>
        <v/>
      </c>
      <c r="Q78" s="62">
        <f>IF(A78&lt;&gt;"",IFERROR(VLOOKUP(A78,Agenda!A:N,14,0),0),"")</f>
        <v/>
      </c>
      <c r="R78" s="28">
        <f>IF(A78&lt;&gt;"",Q78-P78,"")</f>
        <v/>
      </c>
      <c r="S78" s="82">
        <f>IF(AND(A78&lt;&gt;"",Q78&lt;&gt;0),R78/Q78*100,"")</f>
        <v/>
      </c>
      <c r="T78" s="61" t="n"/>
    </row>
    <row r="79" ht="18" customHeight="1">
      <c r="A79" s="54" t="n"/>
      <c r="B79" s="70">
        <f>IF(A79&lt;&gt;"",IFERROR(VLOOKUP(A79,Agenda!A:E,5,0),"—"),"")</f>
        <v/>
      </c>
      <c r="C79" s="71">
        <f>IF(A79&lt;&gt;"",IFERROR(VLOOKUP(A79,Agenda!A:K,11,0),"—"),"")</f>
        <v/>
      </c>
      <c r="D79" s="83" t="n"/>
      <c r="E79" s="80">
        <f>IF(A79&lt;&gt;"",IF(C79="Pick Up",7,IF(C79="1.5 Cerrada",9,IF(C79="2.5",10,IF(C79="3.5",12,0)))),"")</f>
        <v/>
      </c>
      <c r="F79" s="28">
        <f>IF(AND(D79&lt;&gt;"",E79&lt;&gt;""),D79*E79,"")</f>
        <v/>
      </c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81">
        <f>IF(A79&lt;&gt;"",IFERROR(F79+G79+H79+I79+J79+K79+L79+M79+N79+O79,0),"")</f>
        <v/>
      </c>
      <c r="Q79" s="74">
        <f>IF(A79&lt;&gt;"",IFERROR(VLOOKUP(A79,Agenda!A:N,14,0),0),"")</f>
        <v/>
      </c>
      <c r="R79" s="28">
        <f>IF(A79&lt;&gt;"",Q79-P79,"")</f>
        <v/>
      </c>
      <c r="S79" s="84">
        <f>IF(AND(A79&lt;&gt;"",Q79&lt;&gt;0),R79/Q79*100,"")</f>
        <v/>
      </c>
      <c r="T79" s="73" t="n"/>
    </row>
    <row r="80" ht="18" customHeight="1">
      <c r="A80" s="54" t="n"/>
      <c r="B80" s="58">
        <f>IF(A80&lt;&gt;"",IFERROR(VLOOKUP(A80,Agenda!A:E,5,0),"—"),"")</f>
        <v/>
      </c>
      <c r="C80" s="59">
        <f>IF(A80&lt;&gt;"",IFERROR(VLOOKUP(A80,Agenda!A:K,11,0),"—"),"")</f>
        <v/>
      </c>
      <c r="D80" s="79" t="n"/>
      <c r="E80" s="80">
        <f>IF(A80&lt;&gt;"",IF(C80="Pick Up",7,IF(C80="1.5 Cerrada",9,IF(C80="2.5",10,IF(C80="3.5",12,0)))),"")</f>
        <v/>
      </c>
      <c r="F80" s="28">
        <f>IF(AND(D80&lt;&gt;"",E80&lt;&gt;""),D80*E80,"")</f>
        <v/>
      </c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81">
        <f>IF(A80&lt;&gt;"",IFERROR(F80+G80+H80+I80+J80+K80+L80+M80+N80+O80,0),"")</f>
        <v/>
      </c>
      <c r="Q80" s="62">
        <f>IF(A80&lt;&gt;"",IFERROR(VLOOKUP(A80,Agenda!A:N,14,0),0),"")</f>
        <v/>
      </c>
      <c r="R80" s="28">
        <f>IF(A80&lt;&gt;"",Q80-P80,"")</f>
        <v/>
      </c>
      <c r="S80" s="82">
        <f>IF(AND(A80&lt;&gt;"",Q80&lt;&gt;0),R80/Q80*100,"")</f>
        <v/>
      </c>
      <c r="T80" s="61" t="n"/>
    </row>
    <row r="81" ht="18" customHeight="1">
      <c r="A81" s="54" t="n"/>
      <c r="B81" s="70">
        <f>IF(A81&lt;&gt;"",IFERROR(VLOOKUP(A81,Agenda!A:E,5,0),"—"),"")</f>
        <v/>
      </c>
      <c r="C81" s="71">
        <f>IF(A81&lt;&gt;"",IFERROR(VLOOKUP(A81,Agenda!A:K,11,0),"—"),"")</f>
        <v/>
      </c>
      <c r="D81" s="83" t="n"/>
      <c r="E81" s="80">
        <f>IF(A81&lt;&gt;"",IF(C81="Pick Up",7,IF(C81="1.5 Cerrada",9,IF(C81="2.5",10,IF(C81="3.5",12,0)))),"")</f>
        <v/>
      </c>
      <c r="F81" s="28">
        <f>IF(AND(D81&lt;&gt;"",E81&lt;&gt;""),D81*E81,"")</f>
        <v/>
      </c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81">
        <f>IF(A81&lt;&gt;"",IFERROR(F81+G81+H81+I81+J81+K81+L81+M81+N81+O81,0),"")</f>
        <v/>
      </c>
      <c r="Q81" s="74">
        <f>IF(A81&lt;&gt;"",IFERROR(VLOOKUP(A81,Agenda!A:N,14,0),0),"")</f>
        <v/>
      </c>
      <c r="R81" s="28">
        <f>IF(A81&lt;&gt;"",Q81-P81,"")</f>
        <v/>
      </c>
      <c r="S81" s="84">
        <f>IF(AND(A81&lt;&gt;"",Q81&lt;&gt;0),R81/Q81*100,"")</f>
        <v/>
      </c>
      <c r="T81" s="73" t="n"/>
    </row>
    <row r="82" ht="18" customHeight="1">
      <c r="A82" s="54" t="n"/>
      <c r="B82" s="58">
        <f>IF(A82&lt;&gt;"",IFERROR(VLOOKUP(A82,Agenda!A:E,5,0),"—"),"")</f>
        <v/>
      </c>
      <c r="C82" s="59">
        <f>IF(A82&lt;&gt;"",IFERROR(VLOOKUP(A82,Agenda!A:K,11,0),"—"),"")</f>
        <v/>
      </c>
      <c r="D82" s="79" t="n"/>
      <c r="E82" s="80">
        <f>IF(A82&lt;&gt;"",IF(C82="Pick Up",7,IF(C82="1.5 Cerrada",9,IF(C82="2.5",10,IF(C82="3.5",12,0)))),"")</f>
        <v/>
      </c>
      <c r="F82" s="28">
        <f>IF(AND(D82&lt;&gt;"",E82&lt;&gt;""),D82*E82,"")</f>
        <v/>
      </c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81">
        <f>IF(A82&lt;&gt;"",IFERROR(F82+G82+H82+I82+J82+K82+L82+M82+N82+O82,0),"")</f>
        <v/>
      </c>
      <c r="Q82" s="62">
        <f>IF(A82&lt;&gt;"",IFERROR(VLOOKUP(A82,Agenda!A:N,14,0),0),"")</f>
        <v/>
      </c>
      <c r="R82" s="28">
        <f>IF(A82&lt;&gt;"",Q82-P82,"")</f>
        <v/>
      </c>
      <c r="S82" s="82">
        <f>IF(AND(A82&lt;&gt;"",Q82&lt;&gt;0),R82/Q82*100,"")</f>
        <v/>
      </c>
      <c r="T82" s="61" t="n"/>
    </row>
    <row r="83" ht="18" customHeight="1">
      <c r="A83" s="54" t="n"/>
      <c r="B83" s="70">
        <f>IF(A83&lt;&gt;"",IFERROR(VLOOKUP(A83,Agenda!A:E,5,0),"—"),"")</f>
        <v/>
      </c>
      <c r="C83" s="71">
        <f>IF(A83&lt;&gt;"",IFERROR(VLOOKUP(A83,Agenda!A:K,11,0),"—"),"")</f>
        <v/>
      </c>
      <c r="D83" s="83" t="n"/>
      <c r="E83" s="80">
        <f>IF(A83&lt;&gt;"",IF(C83="Pick Up",7,IF(C83="1.5 Cerrada",9,IF(C83="2.5",10,IF(C83="3.5",12,0)))),"")</f>
        <v/>
      </c>
      <c r="F83" s="28">
        <f>IF(AND(D83&lt;&gt;"",E83&lt;&gt;""),D83*E83,"")</f>
        <v/>
      </c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81">
        <f>IF(A83&lt;&gt;"",IFERROR(F83+G83+H83+I83+J83+K83+L83+M83+N83+O83,0),"")</f>
        <v/>
      </c>
      <c r="Q83" s="74">
        <f>IF(A83&lt;&gt;"",IFERROR(VLOOKUP(A83,Agenda!A:N,14,0),0),"")</f>
        <v/>
      </c>
      <c r="R83" s="28">
        <f>IF(A83&lt;&gt;"",Q83-P83,"")</f>
        <v/>
      </c>
      <c r="S83" s="84">
        <f>IF(AND(A83&lt;&gt;"",Q83&lt;&gt;0),R83/Q83*100,"")</f>
        <v/>
      </c>
      <c r="T83" s="73" t="n"/>
    </row>
    <row r="84" ht="18" customHeight="1">
      <c r="A84" s="54" t="n"/>
      <c r="B84" s="58">
        <f>IF(A84&lt;&gt;"",IFERROR(VLOOKUP(A84,Agenda!A:E,5,0),"—"),"")</f>
        <v/>
      </c>
      <c r="C84" s="59">
        <f>IF(A84&lt;&gt;"",IFERROR(VLOOKUP(A84,Agenda!A:K,11,0),"—"),"")</f>
        <v/>
      </c>
      <c r="D84" s="79" t="n"/>
      <c r="E84" s="80">
        <f>IF(A84&lt;&gt;"",IF(C84="Pick Up",7,IF(C84="1.5 Cerrada",9,IF(C84="2.5",10,IF(C84="3.5",12,0)))),"")</f>
        <v/>
      </c>
      <c r="F84" s="28">
        <f>IF(AND(D84&lt;&gt;"",E84&lt;&gt;""),D84*E84,"")</f>
        <v/>
      </c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81">
        <f>IF(A84&lt;&gt;"",IFERROR(F84+G84+H84+I84+J84+K84+L84+M84+N84+O84,0),"")</f>
        <v/>
      </c>
      <c r="Q84" s="62">
        <f>IF(A84&lt;&gt;"",IFERROR(VLOOKUP(A84,Agenda!A:N,14,0),0),"")</f>
        <v/>
      </c>
      <c r="R84" s="28">
        <f>IF(A84&lt;&gt;"",Q84-P84,"")</f>
        <v/>
      </c>
      <c r="S84" s="82">
        <f>IF(AND(A84&lt;&gt;"",Q84&lt;&gt;0),R84/Q84*100,"")</f>
        <v/>
      </c>
      <c r="T84" s="61" t="n"/>
    </row>
    <row r="85" ht="18" customHeight="1">
      <c r="A85" s="54" t="n"/>
      <c r="B85" s="70">
        <f>IF(A85&lt;&gt;"",IFERROR(VLOOKUP(A85,Agenda!A:E,5,0),"—"),"")</f>
        <v/>
      </c>
      <c r="C85" s="71">
        <f>IF(A85&lt;&gt;"",IFERROR(VLOOKUP(A85,Agenda!A:K,11,0),"—"),"")</f>
        <v/>
      </c>
      <c r="D85" s="83" t="n"/>
      <c r="E85" s="80">
        <f>IF(A85&lt;&gt;"",IF(C85="Pick Up",7,IF(C85="1.5 Cerrada",9,IF(C85="2.5",10,IF(C85="3.5",12,0)))),"")</f>
        <v/>
      </c>
      <c r="F85" s="28">
        <f>IF(AND(D85&lt;&gt;"",E85&lt;&gt;""),D85*E85,"")</f>
        <v/>
      </c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81">
        <f>IF(A85&lt;&gt;"",IFERROR(F85+G85+H85+I85+J85+K85+L85+M85+N85+O85,0),"")</f>
        <v/>
      </c>
      <c r="Q85" s="74">
        <f>IF(A85&lt;&gt;"",IFERROR(VLOOKUP(A85,Agenda!A:N,14,0),0),"")</f>
        <v/>
      </c>
      <c r="R85" s="28">
        <f>IF(A85&lt;&gt;"",Q85-P85,"")</f>
        <v/>
      </c>
      <c r="S85" s="84">
        <f>IF(AND(A85&lt;&gt;"",Q85&lt;&gt;0),R85/Q85*100,"")</f>
        <v/>
      </c>
      <c r="T85" s="73" t="n"/>
    </row>
    <row r="86" ht="18" customHeight="1">
      <c r="A86" s="54" t="n"/>
      <c r="B86" s="58">
        <f>IF(A86&lt;&gt;"",IFERROR(VLOOKUP(A86,Agenda!A:E,5,0),"—"),"")</f>
        <v/>
      </c>
      <c r="C86" s="59">
        <f>IF(A86&lt;&gt;"",IFERROR(VLOOKUP(A86,Agenda!A:K,11,0),"—"),"")</f>
        <v/>
      </c>
      <c r="D86" s="79" t="n"/>
      <c r="E86" s="80">
        <f>IF(A86&lt;&gt;"",IF(C86="Pick Up",7,IF(C86="1.5 Cerrada",9,IF(C86="2.5",10,IF(C86="3.5",12,0)))),"")</f>
        <v/>
      </c>
      <c r="F86" s="28">
        <f>IF(AND(D86&lt;&gt;"",E86&lt;&gt;""),D86*E86,"")</f>
        <v/>
      </c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81">
        <f>IF(A86&lt;&gt;"",IFERROR(F86+G86+H86+I86+J86+K86+L86+M86+N86+O86,0),"")</f>
        <v/>
      </c>
      <c r="Q86" s="62">
        <f>IF(A86&lt;&gt;"",IFERROR(VLOOKUP(A86,Agenda!A:N,14,0),0),"")</f>
        <v/>
      </c>
      <c r="R86" s="28">
        <f>IF(A86&lt;&gt;"",Q86-P86,"")</f>
        <v/>
      </c>
      <c r="S86" s="82">
        <f>IF(AND(A86&lt;&gt;"",Q86&lt;&gt;0),R86/Q86*100,"")</f>
        <v/>
      </c>
      <c r="T86" s="61" t="n"/>
    </row>
    <row r="87" ht="18" customHeight="1">
      <c r="A87" s="54" t="n"/>
      <c r="B87" s="70">
        <f>IF(A87&lt;&gt;"",IFERROR(VLOOKUP(A87,Agenda!A:E,5,0),"—"),"")</f>
        <v/>
      </c>
      <c r="C87" s="71">
        <f>IF(A87&lt;&gt;"",IFERROR(VLOOKUP(A87,Agenda!A:K,11,0),"—"),"")</f>
        <v/>
      </c>
      <c r="D87" s="83" t="n"/>
      <c r="E87" s="80">
        <f>IF(A87&lt;&gt;"",IF(C87="Pick Up",7,IF(C87="1.5 Cerrada",9,IF(C87="2.5",10,IF(C87="3.5",12,0)))),"")</f>
        <v/>
      </c>
      <c r="F87" s="28">
        <f>IF(AND(D87&lt;&gt;"",E87&lt;&gt;""),D87*E87,"")</f>
        <v/>
      </c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81">
        <f>IF(A87&lt;&gt;"",IFERROR(F87+G87+H87+I87+J87+K87+L87+M87+N87+O87,0),"")</f>
        <v/>
      </c>
      <c r="Q87" s="74">
        <f>IF(A87&lt;&gt;"",IFERROR(VLOOKUP(A87,Agenda!A:N,14,0),0),"")</f>
        <v/>
      </c>
      <c r="R87" s="28">
        <f>IF(A87&lt;&gt;"",Q87-P87,"")</f>
        <v/>
      </c>
      <c r="S87" s="84">
        <f>IF(AND(A87&lt;&gt;"",Q87&lt;&gt;0),R87/Q87*100,"")</f>
        <v/>
      </c>
      <c r="T87" s="73" t="n"/>
    </row>
    <row r="88" ht="18" customHeight="1">
      <c r="A88" s="54" t="n"/>
      <c r="B88" s="58">
        <f>IF(A88&lt;&gt;"",IFERROR(VLOOKUP(A88,Agenda!A:E,5,0),"—"),"")</f>
        <v/>
      </c>
      <c r="C88" s="59">
        <f>IF(A88&lt;&gt;"",IFERROR(VLOOKUP(A88,Agenda!A:K,11,0),"—"),"")</f>
        <v/>
      </c>
      <c r="D88" s="79" t="n"/>
      <c r="E88" s="80">
        <f>IF(A88&lt;&gt;"",IF(C88="Pick Up",7,IF(C88="1.5 Cerrada",9,IF(C88="2.5",10,IF(C88="3.5",12,0)))),"")</f>
        <v/>
      </c>
      <c r="F88" s="28">
        <f>IF(AND(D88&lt;&gt;"",E88&lt;&gt;""),D88*E88,"")</f>
        <v/>
      </c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81">
        <f>IF(A88&lt;&gt;"",IFERROR(F88+G88+H88+I88+J88+K88+L88+M88+N88+O88,0),"")</f>
        <v/>
      </c>
      <c r="Q88" s="62">
        <f>IF(A88&lt;&gt;"",IFERROR(VLOOKUP(A88,Agenda!A:N,14,0),0),"")</f>
        <v/>
      </c>
      <c r="R88" s="28">
        <f>IF(A88&lt;&gt;"",Q88-P88,"")</f>
        <v/>
      </c>
      <c r="S88" s="82">
        <f>IF(AND(A88&lt;&gt;"",Q88&lt;&gt;0),R88/Q88*100,"")</f>
        <v/>
      </c>
      <c r="T88" s="61" t="n"/>
    </row>
    <row r="89" ht="18" customHeight="1">
      <c r="A89" s="54" t="n"/>
      <c r="B89" s="70">
        <f>IF(A89&lt;&gt;"",IFERROR(VLOOKUP(A89,Agenda!A:E,5,0),"—"),"")</f>
        <v/>
      </c>
      <c r="C89" s="71">
        <f>IF(A89&lt;&gt;"",IFERROR(VLOOKUP(A89,Agenda!A:K,11,0),"—"),"")</f>
        <v/>
      </c>
      <c r="D89" s="83" t="n"/>
      <c r="E89" s="80">
        <f>IF(A89&lt;&gt;"",IF(C89="Pick Up",7,IF(C89="1.5 Cerrada",9,IF(C89="2.5",10,IF(C89="3.5",12,0)))),"")</f>
        <v/>
      </c>
      <c r="F89" s="28">
        <f>IF(AND(D89&lt;&gt;"",E89&lt;&gt;""),D89*E89,"")</f>
        <v/>
      </c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81">
        <f>IF(A89&lt;&gt;"",IFERROR(F89+G89+H89+I89+J89+K89+L89+M89+N89+O89,0),"")</f>
        <v/>
      </c>
      <c r="Q89" s="74">
        <f>IF(A89&lt;&gt;"",IFERROR(VLOOKUP(A89,Agenda!A:N,14,0),0),"")</f>
        <v/>
      </c>
      <c r="R89" s="28">
        <f>IF(A89&lt;&gt;"",Q89-P89,"")</f>
        <v/>
      </c>
      <c r="S89" s="84">
        <f>IF(AND(A89&lt;&gt;"",Q89&lt;&gt;0),R89/Q89*100,"")</f>
        <v/>
      </c>
      <c r="T89" s="73" t="n"/>
    </row>
    <row r="90" ht="18" customHeight="1">
      <c r="A90" s="54" t="n"/>
      <c r="B90" s="58">
        <f>IF(A90&lt;&gt;"",IFERROR(VLOOKUP(A90,Agenda!A:E,5,0),"—"),"")</f>
        <v/>
      </c>
      <c r="C90" s="59">
        <f>IF(A90&lt;&gt;"",IFERROR(VLOOKUP(A90,Agenda!A:K,11,0),"—"),"")</f>
        <v/>
      </c>
      <c r="D90" s="79" t="n"/>
      <c r="E90" s="80">
        <f>IF(A90&lt;&gt;"",IF(C90="Pick Up",7,IF(C90="1.5 Cerrada",9,IF(C90="2.5",10,IF(C90="3.5",12,0)))),"")</f>
        <v/>
      </c>
      <c r="F90" s="28">
        <f>IF(AND(D90&lt;&gt;"",E90&lt;&gt;""),D90*E90,"")</f>
        <v/>
      </c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81">
        <f>IF(A90&lt;&gt;"",IFERROR(F90+G90+H90+I90+J90+K90+L90+M90+N90+O90,0),"")</f>
        <v/>
      </c>
      <c r="Q90" s="62">
        <f>IF(A90&lt;&gt;"",IFERROR(VLOOKUP(A90,Agenda!A:N,14,0),0),"")</f>
        <v/>
      </c>
      <c r="R90" s="28">
        <f>IF(A90&lt;&gt;"",Q90-P90,"")</f>
        <v/>
      </c>
      <c r="S90" s="82">
        <f>IF(AND(A90&lt;&gt;"",Q90&lt;&gt;0),R90/Q90*100,"")</f>
        <v/>
      </c>
      <c r="T90" s="61" t="n"/>
    </row>
    <row r="91" ht="18" customHeight="1">
      <c r="A91" s="54" t="n"/>
      <c r="B91" s="70">
        <f>IF(A91&lt;&gt;"",IFERROR(VLOOKUP(A91,Agenda!A:E,5,0),"—"),"")</f>
        <v/>
      </c>
      <c r="C91" s="71">
        <f>IF(A91&lt;&gt;"",IFERROR(VLOOKUP(A91,Agenda!A:K,11,0),"—"),"")</f>
        <v/>
      </c>
      <c r="D91" s="83" t="n"/>
      <c r="E91" s="80">
        <f>IF(A91&lt;&gt;"",IF(C91="Pick Up",7,IF(C91="1.5 Cerrada",9,IF(C91="2.5",10,IF(C91="3.5",12,0)))),"")</f>
        <v/>
      </c>
      <c r="F91" s="28">
        <f>IF(AND(D91&lt;&gt;"",E91&lt;&gt;""),D91*E91,"")</f>
        <v/>
      </c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81">
        <f>IF(A91&lt;&gt;"",IFERROR(F91+G91+H91+I91+J91+K91+L91+M91+N91+O91,0),"")</f>
        <v/>
      </c>
      <c r="Q91" s="74">
        <f>IF(A91&lt;&gt;"",IFERROR(VLOOKUP(A91,Agenda!A:N,14,0),0),"")</f>
        <v/>
      </c>
      <c r="R91" s="28">
        <f>IF(A91&lt;&gt;"",Q91-P91,"")</f>
        <v/>
      </c>
      <c r="S91" s="84">
        <f>IF(AND(A91&lt;&gt;"",Q91&lt;&gt;0),R91/Q91*100,"")</f>
        <v/>
      </c>
      <c r="T91" s="73" t="n"/>
    </row>
    <row r="92" ht="18" customHeight="1">
      <c r="A92" s="54" t="n"/>
      <c r="B92" s="58">
        <f>IF(A92&lt;&gt;"",IFERROR(VLOOKUP(A92,Agenda!A:E,5,0),"—"),"")</f>
        <v/>
      </c>
      <c r="C92" s="59">
        <f>IF(A92&lt;&gt;"",IFERROR(VLOOKUP(A92,Agenda!A:K,11,0),"—"),"")</f>
        <v/>
      </c>
      <c r="D92" s="79" t="n"/>
      <c r="E92" s="80">
        <f>IF(A92&lt;&gt;"",IF(C92="Pick Up",7,IF(C92="1.5 Cerrada",9,IF(C92="2.5",10,IF(C92="3.5",12,0)))),"")</f>
        <v/>
      </c>
      <c r="F92" s="28">
        <f>IF(AND(D92&lt;&gt;"",E92&lt;&gt;""),D92*E92,"")</f>
        <v/>
      </c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81">
        <f>IF(A92&lt;&gt;"",IFERROR(F92+G92+H92+I92+J92+K92+L92+M92+N92+O92,0),"")</f>
        <v/>
      </c>
      <c r="Q92" s="62">
        <f>IF(A92&lt;&gt;"",IFERROR(VLOOKUP(A92,Agenda!A:N,14,0),0),"")</f>
        <v/>
      </c>
      <c r="R92" s="28">
        <f>IF(A92&lt;&gt;"",Q92-P92,"")</f>
        <v/>
      </c>
      <c r="S92" s="82">
        <f>IF(AND(A92&lt;&gt;"",Q92&lt;&gt;0),R92/Q92*100,"")</f>
        <v/>
      </c>
      <c r="T92" s="61" t="n"/>
    </row>
    <row r="93" ht="18" customHeight="1">
      <c r="A93" s="54" t="n"/>
      <c r="B93" s="70">
        <f>IF(A93&lt;&gt;"",IFERROR(VLOOKUP(A93,Agenda!A:E,5,0),"—"),"")</f>
        <v/>
      </c>
      <c r="C93" s="71">
        <f>IF(A93&lt;&gt;"",IFERROR(VLOOKUP(A93,Agenda!A:K,11,0),"—"),"")</f>
        <v/>
      </c>
      <c r="D93" s="83" t="n"/>
      <c r="E93" s="80">
        <f>IF(A93&lt;&gt;"",IF(C93="Pick Up",7,IF(C93="1.5 Cerrada",9,IF(C93="2.5",10,IF(C93="3.5",12,0)))),"")</f>
        <v/>
      </c>
      <c r="F93" s="28">
        <f>IF(AND(D93&lt;&gt;"",E93&lt;&gt;""),D93*E93,"")</f>
        <v/>
      </c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81">
        <f>IF(A93&lt;&gt;"",IFERROR(F93+G93+H93+I93+J93+K93+L93+M93+N93+O93,0),"")</f>
        <v/>
      </c>
      <c r="Q93" s="74">
        <f>IF(A93&lt;&gt;"",IFERROR(VLOOKUP(A93,Agenda!A:N,14,0),0),"")</f>
        <v/>
      </c>
      <c r="R93" s="28">
        <f>IF(A93&lt;&gt;"",Q93-P93,"")</f>
        <v/>
      </c>
      <c r="S93" s="84">
        <f>IF(AND(A93&lt;&gt;"",Q93&lt;&gt;0),R93/Q93*100,"")</f>
        <v/>
      </c>
      <c r="T93" s="73" t="n"/>
    </row>
    <row r="94" ht="18" customHeight="1">
      <c r="A94" s="54" t="n"/>
      <c r="B94" s="58">
        <f>IF(A94&lt;&gt;"",IFERROR(VLOOKUP(A94,Agenda!A:E,5,0),"—"),"")</f>
        <v/>
      </c>
      <c r="C94" s="59">
        <f>IF(A94&lt;&gt;"",IFERROR(VLOOKUP(A94,Agenda!A:K,11,0),"—"),"")</f>
        <v/>
      </c>
      <c r="D94" s="79" t="n"/>
      <c r="E94" s="80">
        <f>IF(A94&lt;&gt;"",IF(C94="Pick Up",7,IF(C94="1.5 Cerrada",9,IF(C94="2.5",10,IF(C94="3.5",12,0)))),"")</f>
        <v/>
      </c>
      <c r="F94" s="28">
        <f>IF(AND(D94&lt;&gt;"",E94&lt;&gt;""),D94*E94,"")</f>
        <v/>
      </c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81">
        <f>IF(A94&lt;&gt;"",IFERROR(F94+G94+H94+I94+J94+K94+L94+M94+N94+O94,0),"")</f>
        <v/>
      </c>
      <c r="Q94" s="62">
        <f>IF(A94&lt;&gt;"",IFERROR(VLOOKUP(A94,Agenda!A:N,14,0),0),"")</f>
        <v/>
      </c>
      <c r="R94" s="28">
        <f>IF(A94&lt;&gt;"",Q94-P94,"")</f>
        <v/>
      </c>
      <c r="S94" s="82">
        <f>IF(AND(A94&lt;&gt;"",Q94&lt;&gt;0),R94/Q94*100,"")</f>
        <v/>
      </c>
      <c r="T94" s="61" t="n"/>
    </row>
    <row r="95" ht="18" customHeight="1">
      <c r="A95" s="54" t="n"/>
      <c r="B95" s="70">
        <f>IF(A95&lt;&gt;"",IFERROR(VLOOKUP(A95,Agenda!A:E,5,0),"—"),"")</f>
        <v/>
      </c>
      <c r="C95" s="71">
        <f>IF(A95&lt;&gt;"",IFERROR(VLOOKUP(A95,Agenda!A:K,11,0),"—"),"")</f>
        <v/>
      </c>
      <c r="D95" s="83" t="n"/>
      <c r="E95" s="80">
        <f>IF(A95&lt;&gt;"",IF(C95="Pick Up",7,IF(C95="1.5 Cerrada",9,IF(C95="2.5",10,IF(C95="3.5",12,0)))),"")</f>
        <v/>
      </c>
      <c r="F95" s="28">
        <f>IF(AND(D95&lt;&gt;"",E95&lt;&gt;""),D95*E95,"")</f>
        <v/>
      </c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81">
        <f>IF(A95&lt;&gt;"",IFERROR(F95+G95+H95+I95+J95+K95+L95+M95+N95+O95,0),"")</f>
        <v/>
      </c>
      <c r="Q95" s="74">
        <f>IF(A95&lt;&gt;"",IFERROR(VLOOKUP(A95,Agenda!A:N,14,0),0),"")</f>
        <v/>
      </c>
      <c r="R95" s="28">
        <f>IF(A95&lt;&gt;"",Q95-P95,"")</f>
        <v/>
      </c>
      <c r="S95" s="84">
        <f>IF(AND(A95&lt;&gt;"",Q95&lt;&gt;0),R95/Q95*100,"")</f>
        <v/>
      </c>
      <c r="T95" s="73" t="n"/>
    </row>
    <row r="96" ht="18" customHeight="1">
      <c r="A96" s="54" t="n"/>
      <c r="B96" s="58">
        <f>IF(A96&lt;&gt;"",IFERROR(VLOOKUP(A96,Agenda!A:E,5,0),"—"),"")</f>
        <v/>
      </c>
      <c r="C96" s="59">
        <f>IF(A96&lt;&gt;"",IFERROR(VLOOKUP(A96,Agenda!A:K,11,0),"—"),"")</f>
        <v/>
      </c>
      <c r="D96" s="79" t="n"/>
      <c r="E96" s="80">
        <f>IF(A96&lt;&gt;"",IF(C96="Pick Up",7,IF(C96="1.5 Cerrada",9,IF(C96="2.5",10,IF(C96="3.5",12,0)))),"")</f>
        <v/>
      </c>
      <c r="F96" s="28">
        <f>IF(AND(D96&lt;&gt;"",E96&lt;&gt;""),D96*E96,"")</f>
        <v/>
      </c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81">
        <f>IF(A96&lt;&gt;"",IFERROR(F96+G96+H96+I96+J96+K96+L96+M96+N96+O96,0),"")</f>
        <v/>
      </c>
      <c r="Q96" s="62">
        <f>IF(A96&lt;&gt;"",IFERROR(VLOOKUP(A96,Agenda!A:N,14,0),0),"")</f>
        <v/>
      </c>
      <c r="R96" s="28">
        <f>IF(A96&lt;&gt;"",Q96-P96,"")</f>
        <v/>
      </c>
      <c r="S96" s="82">
        <f>IF(AND(A96&lt;&gt;"",Q96&lt;&gt;0),R96/Q96*100,"")</f>
        <v/>
      </c>
      <c r="T96" s="61" t="n"/>
    </row>
    <row r="97" ht="18" customHeight="1">
      <c r="A97" s="54" t="n"/>
      <c r="B97" s="70">
        <f>IF(A97&lt;&gt;"",IFERROR(VLOOKUP(A97,Agenda!A:E,5,0),"—"),"")</f>
        <v/>
      </c>
      <c r="C97" s="71">
        <f>IF(A97&lt;&gt;"",IFERROR(VLOOKUP(A97,Agenda!A:K,11,0),"—"),"")</f>
        <v/>
      </c>
      <c r="D97" s="83" t="n"/>
      <c r="E97" s="80">
        <f>IF(A97&lt;&gt;"",IF(C97="Pick Up",7,IF(C97="1.5 Cerrada",9,IF(C97="2.5",10,IF(C97="3.5",12,0)))),"")</f>
        <v/>
      </c>
      <c r="F97" s="28">
        <f>IF(AND(D97&lt;&gt;"",E97&lt;&gt;""),D97*E97,"")</f>
        <v/>
      </c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81">
        <f>IF(A97&lt;&gt;"",IFERROR(F97+G97+H97+I97+J97+K97+L97+M97+N97+O97,0),"")</f>
        <v/>
      </c>
      <c r="Q97" s="74">
        <f>IF(A97&lt;&gt;"",IFERROR(VLOOKUP(A97,Agenda!A:N,14,0),0),"")</f>
        <v/>
      </c>
      <c r="R97" s="28">
        <f>IF(A97&lt;&gt;"",Q97-P97,"")</f>
        <v/>
      </c>
      <c r="S97" s="84">
        <f>IF(AND(A97&lt;&gt;"",Q97&lt;&gt;0),R97/Q97*100,"")</f>
        <v/>
      </c>
      <c r="T97" s="73" t="n"/>
    </row>
    <row r="98" ht="18" customHeight="1">
      <c r="A98" s="54" t="n"/>
      <c r="B98" s="58">
        <f>IF(A98&lt;&gt;"",IFERROR(VLOOKUP(A98,Agenda!A:E,5,0),"—"),"")</f>
        <v/>
      </c>
      <c r="C98" s="59">
        <f>IF(A98&lt;&gt;"",IFERROR(VLOOKUP(A98,Agenda!A:K,11,0),"—"),"")</f>
        <v/>
      </c>
      <c r="D98" s="79" t="n"/>
      <c r="E98" s="80">
        <f>IF(A98&lt;&gt;"",IF(C98="Pick Up",7,IF(C98="1.5 Cerrada",9,IF(C98="2.5",10,IF(C98="3.5",12,0)))),"")</f>
        <v/>
      </c>
      <c r="F98" s="28">
        <f>IF(AND(D98&lt;&gt;"",E98&lt;&gt;""),D98*E98,"")</f>
        <v/>
      </c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81">
        <f>IF(A98&lt;&gt;"",IFERROR(F98+G98+H98+I98+J98+K98+L98+M98+N98+O98,0),"")</f>
        <v/>
      </c>
      <c r="Q98" s="62">
        <f>IF(A98&lt;&gt;"",IFERROR(VLOOKUP(A98,Agenda!A:N,14,0),0),"")</f>
        <v/>
      </c>
      <c r="R98" s="28">
        <f>IF(A98&lt;&gt;"",Q98-P98,"")</f>
        <v/>
      </c>
      <c r="S98" s="82">
        <f>IF(AND(A98&lt;&gt;"",Q98&lt;&gt;0),R98/Q98*100,"")</f>
        <v/>
      </c>
      <c r="T98" s="61" t="n"/>
    </row>
    <row r="99" ht="18" customHeight="1">
      <c r="A99" s="54" t="n"/>
      <c r="B99" s="70">
        <f>IF(A99&lt;&gt;"",IFERROR(VLOOKUP(A99,Agenda!A:E,5,0),"—"),"")</f>
        <v/>
      </c>
      <c r="C99" s="71">
        <f>IF(A99&lt;&gt;"",IFERROR(VLOOKUP(A99,Agenda!A:K,11,0),"—"),"")</f>
        <v/>
      </c>
      <c r="D99" s="83" t="n"/>
      <c r="E99" s="80">
        <f>IF(A99&lt;&gt;"",IF(C99="Pick Up",7,IF(C99="1.5 Cerrada",9,IF(C99="2.5",10,IF(C99="3.5",12,0)))),"")</f>
        <v/>
      </c>
      <c r="F99" s="28">
        <f>IF(AND(D99&lt;&gt;"",E99&lt;&gt;""),D99*E99,"")</f>
        <v/>
      </c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81">
        <f>IF(A99&lt;&gt;"",IFERROR(F99+G99+H99+I99+J99+K99+L99+M99+N99+O99,0),"")</f>
        <v/>
      </c>
      <c r="Q99" s="74">
        <f>IF(A99&lt;&gt;"",IFERROR(VLOOKUP(A99,Agenda!A:N,14,0),0),"")</f>
        <v/>
      </c>
      <c r="R99" s="28">
        <f>IF(A99&lt;&gt;"",Q99-P99,"")</f>
        <v/>
      </c>
      <c r="S99" s="84">
        <f>IF(AND(A99&lt;&gt;"",Q99&lt;&gt;0),R99/Q99*100,"")</f>
        <v/>
      </c>
      <c r="T99" s="73" t="n"/>
    </row>
    <row r="100" ht="18" customHeight="1">
      <c r="A100" s="54" t="n"/>
      <c r="B100" s="58">
        <f>IF(A100&lt;&gt;"",IFERROR(VLOOKUP(A100,Agenda!A:E,5,0),"—"),"")</f>
        <v/>
      </c>
      <c r="C100" s="59">
        <f>IF(A100&lt;&gt;"",IFERROR(VLOOKUP(A100,Agenda!A:K,11,0),"—"),"")</f>
        <v/>
      </c>
      <c r="D100" s="79" t="n"/>
      <c r="E100" s="80">
        <f>IF(A100&lt;&gt;"",IF(C100="Pick Up",7,IF(C100="1.5 Cerrada",9,IF(C100="2.5",10,IF(C100="3.5",12,0)))),"")</f>
        <v/>
      </c>
      <c r="F100" s="28">
        <f>IF(AND(D100&lt;&gt;"",E100&lt;&gt;""),D100*E100,"")</f>
        <v/>
      </c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81">
        <f>IF(A100&lt;&gt;"",IFERROR(F100+G100+H100+I100+J100+K100+L100+M100+N100+O100,0),"")</f>
        <v/>
      </c>
      <c r="Q100" s="62">
        <f>IF(A100&lt;&gt;"",IFERROR(VLOOKUP(A100,Agenda!A:N,14,0),0),"")</f>
        <v/>
      </c>
      <c r="R100" s="28">
        <f>IF(A100&lt;&gt;"",Q100-P100,"")</f>
        <v/>
      </c>
      <c r="S100" s="82">
        <f>IF(AND(A100&lt;&gt;"",Q100&lt;&gt;0),R100/Q100*100,"")</f>
        <v/>
      </c>
      <c r="T100" s="61" t="n"/>
    </row>
    <row r="101" ht="18" customHeight="1">
      <c r="A101" s="54" t="n"/>
      <c r="B101" s="70">
        <f>IF(A101&lt;&gt;"",IFERROR(VLOOKUP(A101,Agenda!A:E,5,0),"—"),"")</f>
        <v/>
      </c>
      <c r="C101" s="71">
        <f>IF(A101&lt;&gt;"",IFERROR(VLOOKUP(A101,Agenda!A:K,11,0),"—"),"")</f>
        <v/>
      </c>
      <c r="D101" s="83" t="n"/>
      <c r="E101" s="80">
        <f>IF(A101&lt;&gt;"",IF(C101="Pick Up",7,IF(C101="1.5 Cerrada",9,IF(C101="2.5",10,IF(C101="3.5",12,0)))),"")</f>
        <v/>
      </c>
      <c r="F101" s="28">
        <f>IF(AND(D101&lt;&gt;"",E101&lt;&gt;""),D101*E101,"")</f>
        <v/>
      </c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81">
        <f>IF(A101&lt;&gt;"",IFERROR(F101+G101+H101+I101+J101+K101+L101+M101+N101+O101,0),"")</f>
        <v/>
      </c>
      <c r="Q101" s="74">
        <f>IF(A101&lt;&gt;"",IFERROR(VLOOKUP(A101,Agenda!A:N,14,0),0),"")</f>
        <v/>
      </c>
      <c r="R101" s="28">
        <f>IF(A101&lt;&gt;"",Q101-P101,"")</f>
        <v/>
      </c>
      <c r="S101" s="84">
        <f>IF(AND(A101&lt;&gt;"",Q101&lt;&gt;0),R101/Q101*100,"")</f>
        <v/>
      </c>
      <c r="T101" s="73" t="n"/>
    </row>
    <row r="102" ht="18" customHeight="1">
      <c r="A102" s="54" t="n"/>
      <c r="B102" s="58">
        <f>IF(A102&lt;&gt;"",IFERROR(VLOOKUP(A102,Agenda!A:E,5,0),"—"),"")</f>
        <v/>
      </c>
      <c r="C102" s="59">
        <f>IF(A102&lt;&gt;"",IFERROR(VLOOKUP(A102,Agenda!A:K,11,0),"—"),"")</f>
        <v/>
      </c>
      <c r="D102" s="79" t="n"/>
      <c r="E102" s="80">
        <f>IF(A102&lt;&gt;"",IF(C102="Pick Up",7,IF(C102="1.5 Cerrada",9,IF(C102="2.5",10,IF(C102="3.5",12,0)))),"")</f>
        <v/>
      </c>
      <c r="F102" s="28">
        <f>IF(AND(D102&lt;&gt;"",E102&lt;&gt;""),D102*E102,"")</f>
        <v/>
      </c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81">
        <f>IF(A102&lt;&gt;"",IFERROR(F102+G102+H102+I102+J102+K102+L102+M102+N102+O102,0),"")</f>
        <v/>
      </c>
      <c r="Q102" s="62">
        <f>IF(A102&lt;&gt;"",IFERROR(VLOOKUP(A102,Agenda!A:N,14,0),0),"")</f>
        <v/>
      </c>
      <c r="R102" s="28">
        <f>IF(A102&lt;&gt;"",Q102-P102,"")</f>
        <v/>
      </c>
      <c r="S102" s="82">
        <f>IF(AND(A102&lt;&gt;"",Q102&lt;&gt;0),R102/Q102*100,"")</f>
        <v/>
      </c>
      <c r="T102" s="61" t="n"/>
    </row>
    <row r="103" ht="18" customHeight="1">
      <c r="A103" s="54" t="n"/>
      <c r="B103" s="70">
        <f>IF(A103&lt;&gt;"",IFERROR(VLOOKUP(A103,Agenda!A:E,5,0),"—"),"")</f>
        <v/>
      </c>
      <c r="C103" s="71">
        <f>IF(A103&lt;&gt;"",IFERROR(VLOOKUP(A103,Agenda!A:K,11,0),"—"),"")</f>
        <v/>
      </c>
      <c r="D103" s="83" t="n"/>
      <c r="E103" s="80">
        <f>IF(A103&lt;&gt;"",IF(C103="Pick Up",7,IF(C103="1.5 Cerrada",9,IF(C103="2.5",10,IF(C103="3.5",12,0)))),"")</f>
        <v/>
      </c>
      <c r="F103" s="28">
        <f>IF(AND(D103&lt;&gt;"",E103&lt;&gt;""),D103*E103,"")</f>
        <v/>
      </c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81">
        <f>IF(A103&lt;&gt;"",IFERROR(F103+G103+H103+I103+J103+K103+L103+M103+N103+O103,0),"")</f>
        <v/>
      </c>
      <c r="Q103" s="74">
        <f>IF(A103&lt;&gt;"",IFERROR(VLOOKUP(A103,Agenda!A:N,14,0),0),"")</f>
        <v/>
      </c>
      <c r="R103" s="28">
        <f>IF(A103&lt;&gt;"",Q103-P103,"")</f>
        <v/>
      </c>
      <c r="S103" s="84">
        <f>IF(AND(A103&lt;&gt;"",Q103&lt;&gt;0),R103/Q103*100,"")</f>
        <v/>
      </c>
      <c r="T103" s="73" t="n"/>
    </row>
    <row r="104" ht="18" customHeight="1">
      <c r="A104" s="54" t="n"/>
      <c r="B104" s="58">
        <f>IF(A104&lt;&gt;"",IFERROR(VLOOKUP(A104,Agenda!A:E,5,0),"—"),"")</f>
        <v/>
      </c>
      <c r="C104" s="59">
        <f>IF(A104&lt;&gt;"",IFERROR(VLOOKUP(A104,Agenda!A:K,11,0),"—"),"")</f>
        <v/>
      </c>
      <c r="D104" s="79" t="n"/>
      <c r="E104" s="80">
        <f>IF(A104&lt;&gt;"",IF(C104="Pick Up",7,IF(C104="1.5 Cerrada",9,IF(C104="2.5",10,IF(C104="3.5",12,0)))),"")</f>
        <v/>
      </c>
      <c r="F104" s="28">
        <f>IF(AND(D104&lt;&gt;"",E104&lt;&gt;""),D104*E104,"")</f>
        <v/>
      </c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81">
        <f>IF(A104&lt;&gt;"",IFERROR(F104+G104+H104+I104+J104+K104+L104+M104+N104+O104,0),"")</f>
        <v/>
      </c>
      <c r="Q104" s="62">
        <f>IF(A104&lt;&gt;"",IFERROR(VLOOKUP(A104,Agenda!A:N,14,0),0),"")</f>
        <v/>
      </c>
      <c r="R104" s="28">
        <f>IF(A104&lt;&gt;"",Q104-P104,"")</f>
        <v/>
      </c>
      <c r="S104" s="82">
        <f>IF(AND(A104&lt;&gt;"",Q104&lt;&gt;0),R104/Q104*100,"")</f>
        <v/>
      </c>
      <c r="T104" s="61" t="n"/>
    </row>
    <row r="105" ht="18" customHeight="1">
      <c r="A105" s="54" t="n"/>
      <c r="B105" s="70">
        <f>IF(A105&lt;&gt;"",IFERROR(VLOOKUP(A105,Agenda!A:E,5,0),"—"),"")</f>
        <v/>
      </c>
      <c r="C105" s="71">
        <f>IF(A105&lt;&gt;"",IFERROR(VLOOKUP(A105,Agenda!A:K,11,0),"—"),"")</f>
        <v/>
      </c>
      <c r="D105" s="83" t="n"/>
      <c r="E105" s="80">
        <f>IF(A105&lt;&gt;"",IF(C105="Pick Up",7,IF(C105="1.5 Cerrada",9,IF(C105="2.5",10,IF(C105="3.5",12,0)))),"")</f>
        <v/>
      </c>
      <c r="F105" s="28">
        <f>IF(AND(D105&lt;&gt;"",E105&lt;&gt;""),D105*E105,"")</f>
        <v/>
      </c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81">
        <f>IF(A105&lt;&gt;"",IFERROR(F105+G105+H105+I105+J105+K105+L105+M105+N105+O105,0),"")</f>
        <v/>
      </c>
      <c r="Q105" s="74">
        <f>IF(A105&lt;&gt;"",IFERROR(VLOOKUP(A105,Agenda!A:N,14,0),0),"")</f>
        <v/>
      </c>
      <c r="R105" s="28">
        <f>IF(A105&lt;&gt;"",Q105-P105,"")</f>
        <v/>
      </c>
      <c r="S105" s="84">
        <f>IF(AND(A105&lt;&gt;"",Q105&lt;&gt;0),R105/Q105*100,"")</f>
        <v/>
      </c>
      <c r="T105" s="73" t="n"/>
    </row>
    <row r="106" ht="18" customHeight="1">
      <c r="A106" s="54" t="n"/>
      <c r="B106" s="58">
        <f>IF(A106&lt;&gt;"",IFERROR(VLOOKUP(A106,Agenda!A:E,5,0),"—"),"")</f>
        <v/>
      </c>
      <c r="C106" s="59">
        <f>IF(A106&lt;&gt;"",IFERROR(VLOOKUP(A106,Agenda!A:K,11,0),"—"),"")</f>
        <v/>
      </c>
      <c r="D106" s="79" t="n"/>
      <c r="E106" s="80">
        <f>IF(A106&lt;&gt;"",IF(C106="Pick Up",7,IF(C106="1.5 Cerrada",9,IF(C106="2.5",10,IF(C106="3.5",12,0)))),"")</f>
        <v/>
      </c>
      <c r="F106" s="28">
        <f>IF(AND(D106&lt;&gt;"",E106&lt;&gt;""),D106*E106,"")</f>
        <v/>
      </c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81">
        <f>IF(A106&lt;&gt;"",IFERROR(F106+G106+H106+I106+J106+K106+L106+M106+N106+O106,0),"")</f>
        <v/>
      </c>
      <c r="Q106" s="62">
        <f>IF(A106&lt;&gt;"",IFERROR(VLOOKUP(A106,Agenda!A:N,14,0),0),"")</f>
        <v/>
      </c>
      <c r="R106" s="28">
        <f>IF(A106&lt;&gt;"",Q106-P106,"")</f>
        <v/>
      </c>
      <c r="S106" s="82">
        <f>IF(AND(A106&lt;&gt;"",Q106&lt;&gt;0),R106/Q106*100,"")</f>
        <v/>
      </c>
      <c r="T106" s="61" t="n"/>
    </row>
    <row r="107" ht="18" customHeight="1">
      <c r="A107" s="54" t="n"/>
      <c r="B107" s="70">
        <f>IF(A107&lt;&gt;"",IFERROR(VLOOKUP(A107,Agenda!A:E,5,0),"—"),"")</f>
        <v/>
      </c>
      <c r="C107" s="71">
        <f>IF(A107&lt;&gt;"",IFERROR(VLOOKUP(A107,Agenda!A:K,11,0),"—"),"")</f>
        <v/>
      </c>
      <c r="D107" s="83" t="n"/>
      <c r="E107" s="80">
        <f>IF(A107&lt;&gt;"",IF(C107="Pick Up",7,IF(C107="1.5 Cerrada",9,IF(C107="2.5",10,IF(C107="3.5",12,0)))),"")</f>
        <v/>
      </c>
      <c r="F107" s="28">
        <f>IF(AND(D107&lt;&gt;"",E107&lt;&gt;""),D107*E107,"")</f>
        <v/>
      </c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81">
        <f>IF(A107&lt;&gt;"",IFERROR(F107+G107+H107+I107+J107+K107+L107+M107+N107+O107,0),"")</f>
        <v/>
      </c>
      <c r="Q107" s="74">
        <f>IF(A107&lt;&gt;"",IFERROR(VLOOKUP(A107,Agenda!A:N,14,0),0),"")</f>
        <v/>
      </c>
      <c r="R107" s="28">
        <f>IF(A107&lt;&gt;"",Q107-P107,"")</f>
        <v/>
      </c>
      <c r="S107" s="84">
        <f>IF(AND(A107&lt;&gt;"",Q107&lt;&gt;0),R107/Q107*100,"")</f>
        <v/>
      </c>
      <c r="T107" s="73" t="n"/>
    </row>
    <row r="108" ht="18" customHeight="1">
      <c r="A108" s="54" t="n"/>
      <c r="B108" s="58">
        <f>IF(A108&lt;&gt;"",IFERROR(VLOOKUP(A108,Agenda!A:E,5,0),"—"),"")</f>
        <v/>
      </c>
      <c r="C108" s="59">
        <f>IF(A108&lt;&gt;"",IFERROR(VLOOKUP(A108,Agenda!A:K,11,0),"—"),"")</f>
        <v/>
      </c>
      <c r="D108" s="79" t="n"/>
      <c r="E108" s="80">
        <f>IF(A108&lt;&gt;"",IF(C108="Pick Up",7,IF(C108="1.5 Cerrada",9,IF(C108="2.5",10,IF(C108="3.5",12,0)))),"")</f>
        <v/>
      </c>
      <c r="F108" s="28">
        <f>IF(AND(D108&lt;&gt;"",E108&lt;&gt;""),D108*E108,"")</f>
        <v/>
      </c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81">
        <f>IF(A108&lt;&gt;"",IFERROR(F108+G108+H108+I108+J108+K108+L108+M108+N108+O108,0),"")</f>
        <v/>
      </c>
      <c r="Q108" s="62">
        <f>IF(A108&lt;&gt;"",IFERROR(VLOOKUP(A108,Agenda!A:N,14,0),0),"")</f>
        <v/>
      </c>
      <c r="R108" s="28">
        <f>IF(A108&lt;&gt;"",Q108-P108,"")</f>
        <v/>
      </c>
      <c r="S108" s="82">
        <f>IF(AND(A108&lt;&gt;"",Q108&lt;&gt;0),R108/Q108*100,"")</f>
        <v/>
      </c>
      <c r="T108" s="61" t="n"/>
    </row>
    <row r="109" ht="18" customHeight="1">
      <c r="A109" s="54" t="n"/>
      <c r="B109" s="70">
        <f>IF(A109&lt;&gt;"",IFERROR(VLOOKUP(A109,Agenda!A:E,5,0),"—"),"")</f>
        <v/>
      </c>
      <c r="C109" s="71">
        <f>IF(A109&lt;&gt;"",IFERROR(VLOOKUP(A109,Agenda!A:K,11,0),"—"),"")</f>
        <v/>
      </c>
      <c r="D109" s="83" t="n"/>
      <c r="E109" s="80">
        <f>IF(A109&lt;&gt;"",IF(C109="Pick Up",7,IF(C109="1.5 Cerrada",9,IF(C109="2.5",10,IF(C109="3.5",12,0)))),"")</f>
        <v/>
      </c>
      <c r="F109" s="28">
        <f>IF(AND(D109&lt;&gt;"",E109&lt;&gt;""),D109*E109,"")</f>
        <v/>
      </c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81">
        <f>IF(A109&lt;&gt;"",IFERROR(F109+G109+H109+I109+J109+K109+L109+M109+N109+O109,0),"")</f>
        <v/>
      </c>
      <c r="Q109" s="74">
        <f>IF(A109&lt;&gt;"",IFERROR(VLOOKUP(A109,Agenda!A:N,14,0),0),"")</f>
        <v/>
      </c>
      <c r="R109" s="28">
        <f>IF(A109&lt;&gt;"",Q109-P109,"")</f>
        <v/>
      </c>
      <c r="S109" s="84">
        <f>IF(AND(A109&lt;&gt;"",Q109&lt;&gt;0),R109/Q109*100,"")</f>
        <v/>
      </c>
      <c r="T109" s="73" t="n"/>
    </row>
    <row r="110" ht="18" customHeight="1">
      <c r="A110" s="54" t="n"/>
      <c r="B110" s="58">
        <f>IF(A110&lt;&gt;"",IFERROR(VLOOKUP(A110,Agenda!A:E,5,0),"—"),"")</f>
        <v/>
      </c>
      <c r="C110" s="59">
        <f>IF(A110&lt;&gt;"",IFERROR(VLOOKUP(A110,Agenda!A:K,11,0),"—"),"")</f>
        <v/>
      </c>
      <c r="D110" s="79" t="n"/>
      <c r="E110" s="80">
        <f>IF(A110&lt;&gt;"",IF(C110="Pick Up",7,IF(C110="1.5 Cerrada",9,IF(C110="2.5",10,IF(C110="3.5",12,0)))),"")</f>
        <v/>
      </c>
      <c r="F110" s="28">
        <f>IF(AND(D110&lt;&gt;"",E110&lt;&gt;""),D110*E110,"")</f>
        <v/>
      </c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81">
        <f>IF(A110&lt;&gt;"",IFERROR(F110+G110+H110+I110+J110+K110+L110+M110+N110+O110,0),"")</f>
        <v/>
      </c>
      <c r="Q110" s="62">
        <f>IF(A110&lt;&gt;"",IFERROR(VLOOKUP(A110,Agenda!A:N,14,0),0),"")</f>
        <v/>
      </c>
      <c r="R110" s="28">
        <f>IF(A110&lt;&gt;"",Q110-P110,"")</f>
        <v/>
      </c>
      <c r="S110" s="82">
        <f>IF(AND(A110&lt;&gt;"",Q110&lt;&gt;0),R110/Q110*100,"")</f>
        <v/>
      </c>
      <c r="T110" s="61" t="n"/>
    </row>
    <row r="111" ht="18" customHeight="1">
      <c r="A111" s="54" t="n"/>
      <c r="B111" s="70">
        <f>IF(A111&lt;&gt;"",IFERROR(VLOOKUP(A111,Agenda!A:E,5,0),"—"),"")</f>
        <v/>
      </c>
      <c r="C111" s="71">
        <f>IF(A111&lt;&gt;"",IFERROR(VLOOKUP(A111,Agenda!A:K,11,0),"—"),"")</f>
        <v/>
      </c>
      <c r="D111" s="83" t="n"/>
      <c r="E111" s="80">
        <f>IF(A111&lt;&gt;"",IF(C111="Pick Up",7,IF(C111="1.5 Cerrada",9,IF(C111="2.5",10,IF(C111="3.5",12,0)))),"")</f>
        <v/>
      </c>
      <c r="F111" s="28">
        <f>IF(AND(D111&lt;&gt;"",E111&lt;&gt;""),D111*E111,"")</f>
        <v/>
      </c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81">
        <f>IF(A111&lt;&gt;"",IFERROR(F111+G111+H111+I111+J111+K111+L111+M111+N111+O111,0),"")</f>
        <v/>
      </c>
      <c r="Q111" s="74">
        <f>IF(A111&lt;&gt;"",IFERROR(VLOOKUP(A111,Agenda!A:N,14,0),0),"")</f>
        <v/>
      </c>
      <c r="R111" s="28">
        <f>IF(A111&lt;&gt;"",Q111-P111,"")</f>
        <v/>
      </c>
      <c r="S111" s="84">
        <f>IF(AND(A111&lt;&gt;"",Q111&lt;&gt;0),R111/Q111*100,"")</f>
        <v/>
      </c>
      <c r="T111" s="73" t="n"/>
    </row>
    <row r="112" ht="18" customHeight="1">
      <c r="A112" s="54" t="n"/>
      <c r="B112" s="58">
        <f>IF(A112&lt;&gt;"",IFERROR(VLOOKUP(A112,Agenda!A:E,5,0),"—"),"")</f>
        <v/>
      </c>
      <c r="C112" s="59">
        <f>IF(A112&lt;&gt;"",IFERROR(VLOOKUP(A112,Agenda!A:K,11,0),"—"),"")</f>
        <v/>
      </c>
      <c r="D112" s="79" t="n"/>
      <c r="E112" s="80">
        <f>IF(A112&lt;&gt;"",IF(C112="Pick Up",7,IF(C112="1.5 Cerrada",9,IF(C112="2.5",10,IF(C112="3.5",12,0)))),"")</f>
        <v/>
      </c>
      <c r="F112" s="28">
        <f>IF(AND(D112&lt;&gt;"",E112&lt;&gt;""),D112*E112,"")</f>
        <v/>
      </c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81">
        <f>IF(A112&lt;&gt;"",IFERROR(F112+G112+H112+I112+J112+K112+L112+M112+N112+O112,0),"")</f>
        <v/>
      </c>
      <c r="Q112" s="62">
        <f>IF(A112&lt;&gt;"",IFERROR(VLOOKUP(A112,Agenda!A:N,14,0),0),"")</f>
        <v/>
      </c>
      <c r="R112" s="28">
        <f>IF(A112&lt;&gt;"",Q112-P112,"")</f>
        <v/>
      </c>
      <c r="S112" s="82">
        <f>IF(AND(A112&lt;&gt;"",Q112&lt;&gt;0),R112/Q112*100,"")</f>
        <v/>
      </c>
      <c r="T112" s="61" t="n"/>
    </row>
    <row r="113" ht="18" customHeight="1">
      <c r="A113" s="54" t="n"/>
      <c r="B113" s="70">
        <f>IF(A113&lt;&gt;"",IFERROR(VLOOKUP(A113,Agenda!A:E,5,0),"—"),"")</f>
        <v/>
      </c>
      <c r="C113" s="71">
        <f>IF(A113&lt;&gt;"",IFERROR(VLOOKUP(A113,Agenda!A:K,11,0),"—"),"")</f>
        <v/>
      </c>
      <c r="D113" s="83" t="n"/>
      <c r="E113" s="80">
        <f>IF(A113&lt;&gt;"",IF(C113="Pick Up",7,IF(C113="1.5 Cerrada",9,IF(C113="2.5",10,IF(C113="3.5",12,0)))),"")</f>
        <v/>
      </c>
      <c r="F113" s="28">
        <f>IF(AND(D113&lt;&gt;"",E113&lt;&gt;""),D113*E113,"")</f>
        <v/>
      </c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81">
        <f>IF(A113&lt;&gt;"",IFERROR(F113+G113+H113+I113+J113+K113+L113+M113+N113+O113,0),"")</f>
        <v/>
      </c>
      <c r="Q113" s="74">
        <f>IF(A113&lt;&gt;"",IFERROR(VLOOKUP(A113,Agenda!A:N,14,0),0),"")</f>
        <v/>
      </c>
      <c r="R113" s="28">
        <f>IF(A113&lt;&gt;"",Q113-P113,"")</f>
        <v/>
      </c>
      <c r="S113" s="84">
        <f>IF(AND(A113&lt;&gt;"",Q113&lt;&gt;0),R113/Q113*100,"")</f>
        <v/>
      </c>
      <c r="T113" s="73" t="n"/>
    </row>
    <row r="114" ht="18" customHeight="1">
      <c r="A114" s="54" t="n"/>
      <c r="B114" s="58">
        <f>IF(A114&lt;&gt;"",IFERROR(VLOOKUP(A114,Agenda!A:E,5,0),"—"),"")</f>
        <v/>
      </c>
      <c r="C114" s="59">
        <f>IF(A114&lt;&gt;"",IFERROR(VLOOKUP(A114,Agenda!A:K,11,0),"—"),"")</f>
        <v/>
      </c>
      <c r="D114" s="79" t="n"/>
      <c r="E114" s="80">
        <f>IF(A114&lt;&gt;"",IF(C114="Pick Up",7,IF(C114="1.5 Cerrada",9,IF(C114="2.5",10,IF(C114="3.5",12,0)))),"")</f>
        <v/>
      </c>
      <c r="F114" s="28">
        <f>IF(AND(D114&lt;&gt;"",E114&lt;&gt;""),D114*E114,"")</f>
        <v/>
      </c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81">
        <f>IF(A114&lt;&gt;"",IFERROR(F114+G114+H114+I114+J114+K114+L114+M114+N114+O114,0),"")</f>
        <v/>
      </c>
      <c r="Q114" s="62">
        <f>IF(A114&lt;&gt;"",IFERROR(VLOOKUP(A114,Agenda!A:N,14,0),0),"")</f>
        <v/>
      </c>
      <c r="R114" s="28">
        <f>IF(A114&lt;&gt;"",Q114-P114,"")</f>
        <v/>
      </c>
      <c r="S114" s="82">
        <f>IF(AND(A114&lt;&gt;"",Q114&lt;&gt;0),R114/Q114*100,"")</f>
        <v/>
      </c>
      <c r="T114" s="61" t="n"/>
    </row>
    <row r="115" ht="18" customHeight="1">
      <c r="A115" s="54" t="n"/>
      <c r="B115" s="70">
        <f>IF(A115&lt;&gt;"",IFERROR(VLOOKUP(A115,Agenda!A:E,5,0),"—"),"")</f>
        <v/>
      </c>
      <c r="C115" s="71">
        <f>IF(A115&lt;&gt;"",IFERROR(VLOOKUP(A115,Agenda!A:K,11,0),"—"),"")</f>
        <v/>
      </c>
      <c r="D115" s="83" t="n"/>
      <c r="E115" s="80">
        <f>IF(A115&lt;&gt;"",IF(C115="Pick Up",7,IF(C115="1.5 Cerrada",9,IF(C115="2.5",10,IF(C115="3.5",12,0)))),"")</f>
        <v/>
      </c>
      <c r="F115" s="28">
        <f>IF(AND(D115&lt;&gt;"",E115&lt;&gt;""),D115*E115,"")</f>
        <v/>
      </c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81">
        <f>IF(A115&lt;&gt;"",IFERROR(F115+G115+H115+I115+J115+K115+L115+M115+N115+O115,0),"")</f>
        <v/>
      </c>
      <c r="Q115" s="74">
        <f>IF(A115&lt;&gt;"",IFERROR(VLOOKUP(A115,Agenda!A:N,14,0),0),"")</f>
        <v/>
      </c>
      <c r="R115" s="28">
        <f>IF(A115&lt;&gt;"",Q115-P115,"")</f>
        <v/>
      </c>
      <c r="S115" s="84">
        <f>IF(AND(A115&lt;&gt;"",Q115&lt;&gt;0),R115/Q115*100,"")</f>
        <v/>
      </c>
      <c r="T115" s="73" t="n"/>
    </row>
    <row r="116" ht="18" customHeight="1">
      <c r="A116" s="54" t="n"/>
      <c r="B116" s="58">
        <f>IF(A116&lt;&gt;"",IFERROR(VLOOKUP(A116,Agenda!A:E,5,0),"—"),"")</f>
        <v/>
      </c>
      <c r="C116" s="59">
        <f>IF(A116&lt;&gt;"",IFERROR(VLOOKUP(A116,Agenda!A:K,11,0),"—"),"")</f>
        <v/>
      </c>
      <c r="D116" s="79" t="n"/>
      <c r="E116" s="80">
        <f>IF(A116&lt;&gt;"",IF(C116="Pick Up",7,IF(C116="1.5 Cerrada",9,IF(C116="2.5",10,IF(C116="3.5",12,0)))),"")</f>
        <v/>
      </c>
      <c r="F116" s="28">
        <f>IF(AND(D116&lt;&gt;"",E116&lt;&gt;""),D116*E116,"")</f>
        <v/>
      </c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81">
        <f>IF(A116&lt;&gt;"",IFERROR(F116+G116+H116+I116+J116+K116+L116+M116+N116+O116,0),"")</f>
        <v/>
      </c>
      <c r="Q116" s="62">
        <f>IF(A116&lt;&gt;"",IFERROR(VLOOKUP(A116,Agenda!A:N,14,0),0),"")</f>
        <v/>
      </c>
      <c r="R116" s="28">
        <f>IF(A116&lt;&gt;"",Q116-P116,"")</f>
        <v/>
      </c>
      <c r="S116" s="82">
        <f>IF(AND(A116&lt;&gt;"",Q116&lt;&gt;0),R116/Q116*100,"")</f>
        <v/>
      </c>
      <c r="T116" s="61" t="n"/>
    </row>
    <row r="117" ht="18" customHeight="1">
      <c r="A117" s="54" t="n"/>
      <c r="B117" s="70">
        <f>IF(A117&lt;&gt;"",IFERROR(VLOOKUP(A117,Agenda!A:E,5,0),"—"),"")</f>
        <v/>
      </c>
      <c r="C117" s="71">
        <f>IF(A117&lt;&gt;"",IFERROR(VLOOKUP(A117,Agenda!A:K,11,0),"—"),"")</f>
        <v/>
      </c>
      <c r="D117" s="83" t="n"/>
      <c r="E117" s="80">
        <f>IF(A117&lt;&gt;"",IF(C117="Pick Up",7,IF(C117="1.5 Cerrada",9,IF(C117="2.5",10,IF(C117="3.5",12,0)))),"")</f>
        <v/>
      </c>
      <c r="F117" s="28">
        <f>IF(AND(D117&lt;&gt;"",E117&lt;&gt;""),D117*E117,"")</f>
        <v/>
      </c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81">
        <f>IF(A117&lt;&gt;"",IFERROR(F117+G117+H117+I117+J117+K117+L117+M117+N117+O117,0),"")</f>
        <v/>
      </c>
      <c r="Q117" s="74">
        <f>IF(A117&lt;&gt;"",IFERROR(VLOOKUP(A117,Agenda!A:N,14,0),0),"")</f>
        <v/>
      </c>
      <c r="R117" s="28">
        <f>IF(A117&lt;&gt;"",Q117-P117,"")</f>
        <v/>
      </c>
      <c r="S117" s="84">
        <f>IF(AND(A117&lt;&gt;"",Q117&lt;&gt;0),R117/Q117*100,"")</f>
        <v/>
      </c>
      <c r="T117" s="73" t="n"/>
    </row>
    <row r="118" ht="18" customHeight="1">
      <c r="A118" s="54" t="n"/>
      <c r="B118" s="58">
        <f>IF(A118&lt;&gt;"",IFERROR(VLOOKUP(A118,Agenda!A:E,5,0),"—"),"")</f>
        <v/>
      </c>
      <c r="C118" s="59">
        <f>IF(A118&lt;&gt;"",IFERROR(VLOOKUP(A118,Agenda!A:K,11,0),"—"),"")</f>
        <v/>
      </c>
      <c r="D118" s="79" t="n"/>
      <c r="E118" s="80">
        <f>IF(A118&lt;&gt;"",IF(C118="Pick Up",7,IF(C118="1.5 Cerrada",9,IF(C118="2.5",10,IF(C118="3.5",12,0)))),"")</f>
        <v/>
      </c>
      <c r="F118" s="28">
        <f>IF(AND(D118&lt;&gt;"",E118&lt;&gt;""),D118*E118,"")</f>
        <v/>
      </c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81">
        <f>IF(A118&lt;&gt;"",IFERROR(F118+G118+H118+I118+J118+K118+L118+M118+N118+O118,0),"")</f>
        <v/>
      </c>
      <c r="Q118" s="62">
        <f>IF(A118&lt;&gt;"",IFERROR(VLOOKUP(A118,Agenda!A:N,14,0),0),"")</f>
        <v/>
      </c>
      <c r="R118" s="28">
        <f>IF(A118&lt;&gt;"",Q118-P118,"")</f>
        <v/>
      </c>
      <c r="S118" s="82">
        <f>IF(AND(A118&lt;&gt;"",Q118&lt;&gt;0),R118/Q118*100,"")</f>
        <v/>
      </c>
      <c r="T118" s="61" t="n"/>
    </row>
    <row r="119" ht="18" customHeight="1">
      <c r="A119" s="54" t="n"/>
      <c r="B119" s="70">
        <f>IF(A119&lt;&gt;"",IFERROR(VLOOKUP(A119,Agenda!A:E,5,0),"—"),"")</f>
        <v/>
      </c>
      <c r="C119" s="71">
        <f>IF(A119&lt;&gt;"",IFERROR(VLOOKUP(A119,Agenda!A:K,11,0),"—"),"")</f>
        <v/>
      </c>
      <c r="D119" s="83" t="n"/>
      <c r="E119" s="80">
        <f>IF(A119&lt;&gt;"",IF(C119="Pick Up",7,IF(C119="1.5 Cerrada",9,IF(C119="2.5",10,IF(C119="3.5",12,0)))),"")</f>
        <v/>
      </c>
      <c r="F119" s="28">
        <f>IF(AND(D119&lt;&gt;"",E119&lt;&gt;""),D119*E119,"")</f>
        <v/>
      </c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81">
        <f>IF(A119&lt;&gt;"",IFERROR(F119+G119+H119+I119+J119+K119+L119+M119+N119+O119,0),"")</f>
        <v/>
      </c>
      <c r="Q119" s="74">
        <f>IF(A119&lt;&gt;"",IFERROR(VLOOKUP(A119,Agenda!A:N,14,0),0),"")</f>
        <v/>
      </c>
      <c r="R119" s="28">
        <f>IF(A119&lt;&gt;"",Q119-P119,"")</f>
        <v/>
      </c>
      <c r="S119" s="84">
        <f>IF(AND(A119&lt;&gt;"",Q119&lt;&gt;0),R119/Q119*100,"")</f>
        <v/>
      </c>
      <c r="T119" s="73" t="n"/>
    </row>
    <row r="120" ht="18" customHeight="1">
      <c r="A120" s="54" t="n"/>
      <c r="B120" s="58">
        <f>IF(A120&lt;&gt;"",IFERROR(VLOOKUP(A120,Agenda!A:E,5,0),"—"),"")</f>
        <v/>
      </c>
      <c r="C120" s="59">
        <f>IF(A120&lt;&gt;"",IFERROR(VLOOKUP(A120,Agenda!A:K,11,0),"—"),"")</f>
        <v/>
      </c>
      <c r="D120" s="79" t="n"/>
      <c r="E120" s="80">
        <f>IF(A120&lt;&gt;"",IF(C120="Pick Up",7,IF(C120="1.5 Cerrada",9,IF(C120="2.5",10,IF(C120="3.5",12,0)))),"")</f>
        <v/>
      </c>
      <c r="F120" s="28">
        <f>IF(AND(D120&lt;&gt;"",E120&lt;&gt;""),D120*E120,"")</f>
        <v/>
      </c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81">
        <f>IF(A120&lt;&gt;"",IFERROR(F120+G120+H120+I120+J120+K120+L120+M120+N120+O120,0),"")</f>
        <v/>
      </c>
      <c r="Q120" s="62">
        <f>IF(A120&lt;&gt;"",IFERROR(VLOOKUP(A120,Agenda!A:N,14,0),0),"")</f>
        <v/>
      </c>
      <c r="R120" s="28">
        <f>IF(A120&lt;&gt;"",Q120-P120,"")</f>
        <v/>
      </c>
      <c r="S120" s="82">
        <f>IF(AND(A120&lt;&gt;"",Q120&lt;&gt;0),R120/Q120*100,"")</f>
        <v/>
      </c>
      <c r="T120" s="61" t="n"/>
    </row>
    <row r="121" ht="18" customHeight="1">
      <c r="A121" s="54" t="n"/>
      <c r="B121" s="70">
        <f>IF(A121&lt;&gt;"",IFERROR(VLOOKUP(A121,Agenda!A:E,5,0),"—"),"")</f>
        <v/>
      </c>
      <c r="C121" s="71">
        <f>IF(A121&lt;&gt;"",IFERROR(VLOOKUP(A121,Agenda!A:K,11,0),"—"),"")</f>
        <v/>
      </c>
      <c r="D121" s="83" t="n"/>
      <c r="E121" s="80">
        <f>IF(A121&lt;&gt;"",IF(C121="Pick Up",7,IF(C121="1.5 Cerrada",9,IF(C121="2.5",10,IF(C121="3.5",12,0)))),"")</f>
        <v/>
      </c>
      <c r="F121" s="28">
        <f>IF(AND(D121&lt;&gt;"",E121&lt;&gt;""),D121*E121,"")</f>
        <v/>
      </c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81">
        <f>IF(A121&lt;&gt;"",IFERROR(F121+G121+H121+I121+J121+K121+L121+M121+N121+O121,0),"")</f>
        <v/>
      </c>
      <c r="Q121" s="74">
        <f>IF(A121&lt;&gt;"",IFERROR(VLOOKUP(A121,Agenda!A:N,14,0),0),"")</f>
        <v/>
      </c>
      <c r="R121" s="28">
        <f>IF(A121&lt;&gt;"",Q121-P121,"")</f>
        <v/>
      </c>
      <c r="S121" s="84">
        <f>IF(AND(A121&lt;&gt;"",Q121&lt;&gt;0),R121/Q121*100,"")</f>
        <v/>
      </c>
      <c r="T121" s="73" t="n"/>
    </row>
    <row r="122" ht="18" customHeight="1">
      <c r="A122" s="54" t="n"/>
      <c r="B122" s="58">
        <f>IF(A122&lt;&gt;"",IFERROR(VLOOKUP(A122,Agenda!A:E,5,0),"—"),"")</f>
        <v/>
      </c>
      <c r="C122" s="59">
        <f>IF(A122&lt;&gt;"",IFERROR(VLOOKUP(A122,Agenda!A:K,11,0),"—"),"")</f>
        <v/>
      </c>
      <c r="D122" s="79" t="n"/>
      <c r="E122" s="80">
        <f>IF(A122&lt;&gt;"",IF(C122="Pick Up",7,IF(C122="1.5 Cerrada",9,IF(C122="2.5",10,IF(C122="3.5",12,0)))),"")</f>
        <v/>
      </c>
      <c r="F122" s="28">
        <f>IF(AND(D122&lt;&gt;"",E122&lt;&gt;""),D122*E122,"")</f>
        <v/>
      </c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81">
        <f>IF(A122&lt;&gt;"",IFERROR(F122+G122+H122+I122+J122+K122+L122+M122+N122+O122,0),"")</f>
        <v/>
      </c>
      <c r="Q122" s="62">
        <f>IF(A122&lt;&gt;"",IFERROR(VLOOKUP(A122,Agenda!A:N,14,0),0),"")</f>
        <v/>
      </c>
      <c r="R122" s="28">
        <f>IF(A122&lt;&gt;"",Q122-P122,"")</f>
        <v/>
      </c>
      <c r="S122" s="82">
        <f>IF(AND(A122&lt;&gt;"",Q122&lt;&gt;0),R122/Q122*100,"")</f>
        <v/>
      </c>
      <c r="T122" s="61" t="n"/>
    </row>
    <row r="123" ht="18" customHeight="1">
      <c r="A123" s="54" t="n"/>
      <c r="B123" s="70">
        <f>IF(A123&lt;&gt;"",IFERROR(VLOOKUP(A123,Agenda!A:E,5,0),"—"),"")</f>
        <v/>
      </c>
      <c r="C123" s="71">
        <f>IF(A123&lt;&gt;"",IFERROR(VLOOKUP(A123,Agenda!A:K,11,0),"—"),"")</f>
        <v/>
      </c>
      <c r="D123" s="83" t="n"/>
      <c r="E123" s="80">
        <f>IF(A123&lt;&gt;"",IF(C123="Pick Up",7,IF(C123="1.5 Cerrada",9,IF(C123="2.5",10,IF(C123="3.5",12,0)))),"")</f>
        <v/>
      </c>
      <c r="F123" s="28">
        <f>IF(AND(D123&lt;&gt;"",E123&lt;&gt;""),D123*E123,"")</f>
        <v/>
      </c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81">
        <f>IF(A123&lt;&gt;"",IFERROR(F123+G123+H123+I123+J123+K123+L123+M123+N123+O123,0),"")</f>
        <v/>
      </c>
      <c r="Q123" s="74">
        <f>IF(A123&lt;&gt;"",IFERROR(VLOOKUP(A123,Agenda!A:N,14,0),0),"")</f>
        <v/>
      </c>
      <c r="R123" s="28">
        <f>IF(A123&lt;&gt;"",Q123-P123,"")</f>
        <v/>
      </c>
      <c r="S123" s="84">
        <f>IF(AND(A123&lt;&gt;"",Q123&lt;&gt;0),R123/Q123*100,"")</f>
        <v/>
      </c>
      <c r="T123" s="73" t="n"/>
    </row>
    <row r="124" ht="18" customHeight="1">
      <c r="A124" s="54" t="n"/>
      <c r="B124" s="58">
        <f>IF(A124&lt;&gt;"",IFERROR(VLOOKUP(A124,Agenda!A:E,5,0),"—"),"")</f>
        <v/>
      </c>
      <c r="C124" s="59">
        <f>IF(A124&lt;&gt;"",IFERROR(VLOOKUP(A124,Agenda!A:K,11,0),"—"),"")</f>
        <v/>
      </c>
      <c r="D124" s="79" t="n"/>
      <c r="E124" s="80">
        <f>IF(A124&lt;&gt;"",IF(C124="Pick Up",7,IF(C124="1.5 Cerrada",9,IF(C124="2.5",10,IF(C124="3.5",12,0)))),"")</f>
        <v/>
      </c>
      <c r="F124" s="28">
        <f>IF(AND(D124&lt;&gt;"",E124&lt;&gt;""),D124*E124,"")</f>
        <v/>
      </c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81">
        <f>IF(A124&lt;&gt;"",IFERROR(F124+G124+H124+I124+J124+K124+L124+M124+N124+O124,0),"")</f>
        <v/>
      </c>
      <c r="Q124" s="62">
        <f>IF(A124&lt;&gt;"",IFERROR(VLOOKUP(A124,Agenda!A:N,14,0),0),"")</f>
        <v/>
      </c>
      <c r="R124" s="28">
        <f>IF(A124&lt;&gt;"",Q124-P124,"")</f>
        <v/>
      </c>
      <c r="S124" s="82">
        <f>IF(AND(A124&lt;&gt;"",Q124&lt;&gt;0),R124/Q124*100,"")</f>
        <v/>
      </c>
      <c r="T124" s="61" t="n"/>
    </row>
    <row r="125" ht="18" customHeight="1">
      <c r="A125" s="54" t="n"/>
      <c r="B125" s="70">
        <f>IF(A125&lt;&gt;"",IFERROR(VLOOKUP(A125,Agenda!A:E,5,0),"—"),"")</f>
        <v/>
      </c>
      <c r="C125" s="71">
        <f>IF(A125&lt;&gt;"",IFERROR(VLOOKUP(A125,Agenda!A:K,11,0),"—"),"")</f>
        <v/>
      </c>
      <c r="D125" s="83" t="n"/>
      <c r="E125" s="80">
        <f>IF(A125&lt;&gt;"",IF(C125="Pick Up",7,IF(C125="1.5 Cerrada",9,IF(C125="2.5",10,IF(C125="3.5",12,0)))),"")</f>
        <v/>
      </c>
      <c r="F125" s="28">
        <f>IF(AND(D125&lt;&gt;"",E125&lt;&gt;""),D125*E125,"")</f>
        <v/>
      </c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81">
        <f>IF(A125&lt;&gt;"",IFERROR(F125+G125+H125+I125+J125+K125+L125+M125+N125+O125,0),"")</f>
        <v/>
      </c>
      <c r="Q125" s="74">
        <f>IF(A125&lt;&gt;"",IFERROR(VLOOKUP(A125,Agenda!A:N,14,0),0),"")</f>
        <v/>
      </c>
      <c r="R125" s="28">
        <f>IF(A125&lt;&gt;"",Q125-P125,"")</f>
        <v/>
      </c>
      <c r="S125" s="84">
        <f>IF(AND(A125&lt;&gt;"",Q125&lt;&gt;0),R125/Q125*100,"")</f>
        <v/>
      </c>
      <c r="T125" s="73" t="n"/>
    </row>
    <row r="126" ht="18" customHeight="1">
      <c r="A126" s="54" t="n"/>
      <c r="B126" s="58">
        <f>IF(A126&lt;&gt;"",IFERROR(VLOOKUP(A126,Agenda!A:E,5,0),"—"),"")</f>
        <v/>
      </c>
      <c r="C126" s="59">
        <f>IF(A126&lt;&gt;"",IFERROR(VLOOKUP(A126,Agenda!A:K,11,0),"—"),"")</f>
        <v/>
      </c>
      <c r="D126" s="79" t="n"/>
      <c r="E126" s="80">
        <f>IF(A126&lt;&gt;"",IF(C126="Pick Up",7,IF(C126="1.5 Cerrada",9,IF(C126="2.5",10,IF(C126="3.5",12,0)))),"")</f>
        <v/>
      </c>
      <c r="F126" s="28">
        <f>IF(AND(D126&lt;&gt;"",E126&lt;&gt;""),D126*E126,"")</f>
        <v/>
      </c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81">
        <f>IF(A126&lt;&gt;"",IFERROR(F126+G126+H126+I126+J126+K126+L126+M126+N126+O126,0),"")</f>
        <v/>
      </c>
      <c r="Q126" s="62">
        <f>IF(A126&lt;&gt;"",IFERROR(VLOOKUP(A126,Agenda!A:N,14,0),0),"")</f>
        <v/>
      </c>
      <c r="R126" s="28">
        <f>IF(A126&lt;&gt;"",Q126-P126,"")</f>
        <v/>
      </c>
      <c r="S126" s="82">
        <f>IF(AND(A126&lt;&gt;"",Q126&lt;&gt;0),R126/Q126*100,"")</f>
        <v/>
      </c>
      <c r="T126" s="61" t="n"/>
    </row>
    <row r="127" ht="18" customHeight="1">
      <c r="A127" s="54" t="n"/>
      <c r="B127" s="70">
        <f>IF(A127&lt;&gt;"",IFERROR(VLOOKUP(A127,Agenda!A:E,5,0),"—"),"")</f>
        <v/>
      </c>
      <c r="C127" s="71">
        <f>IF(A127&lt;&gt;"",IFERROR(VLOOKUP(A127,Agenda!A:K,11,0),"—"),"")</f>
        <v/>
      </c>
      <c r="D127" s="83" t="n"/>
      <c r="E127" s="80">
        <f>IF(A127&lt;&gt;"",IF(C127="Pick Up",7,IF(C127="1.5 Cerrada",9,IF(C127="2.5",10,IF(C127="3.5",12,0)))),"")</f>
        <v/>
      </c>
      <c r="F127" s="28">
        <f>IF(AND(D127&lt;&gt;"",E127&lt;&gt;""),D127*E127,"")</f>
        <v/>
      </c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81">
        <f>IF(A127&lt;&gt;"",IFERROR(F127+G127+H127+I127+J127+K127+L127+M127+N127+O127,0),"")</f>
        <v/>
      </c>
      <c r="Q127" s="74">
        <f>IF(A127&lt;&gt;"",IFERROR(VLOOKUP(A127,Agenda!A:N,14,0),0),"")</f>
        <v/>
      </c>
      <c r="R127" s="28">
        <f>IF(A127&lt;&gt;"",Q127-P127,"")</f>
        <v/>
      </c>
      <c r="S127" s="84">
        <f>IF(AND(A127&lt;&gt;"",Q127&lt;&gt;0),R127/Q127*100,"")</f>
        <v/>
      </c>
      <c r="T127" s="73" t="n"/>
    </row>
    <row r="128" ht="18" customHeight="1">
      <c r="A128" s="54" t="n"/>
      <c r="B128" s="58">
        <f>IF(A128&lt;&gt;"",IFERROR(VLOOKUP(A128,Agenda!A:E,5,0),"—"),"")</f>
        <v/>
      </c>
      <c r="C128" s="59">
        <f>IF(A128&lt;&gt;"",IFERROR(VLOOKUP(A128,Agenda!A:K,11,0),"—"),"")</f>
        <v/>
      </c>
      <c r="D128" s="79" t="n"/>
      <c r="E128" s="80">
        <f>IF(A128&lt;&gt;"",IF(C128="Pick Up",7,IF(C128="1.5 Cerrada",9,IF(C128="2.5",10,IF(C128="3.5",12,0)))),"")</f>
        <v/>
      </c>
      <c r="F128" s="28">
        <f>IF(AND(D128&lt;&gt;"",E128&lt;&gt;""),D128*E128,"")</f>
        <v/>
      </c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81">
        <f>IF(A128&lt;&gt;"",IFERROR(F128+G128+H128+I128+J128+K128+L128+M128+N128+O128,0),"")</f>
        <v/>
      </c>
      <c r="Q128" s="62">
        <f>IF(A128&lt;&gt;"",IFERROR(VLOOKUP(A128,Agenda!A:N,14,0),0),"")</f>
        <v/>
      </c>
      <c r="R128" s="28">
        <f>IF(A128&lt;&gt;"",Q128-P128,"")</f>
        <v/>
      </c>
      <c r="S128" s="82">
        <f>IF(AND(A128&lt;&gt;"",Q128&lt;&gt;0),R128/Q128*100,"")</f>
        <v/>
      </c>
      <c r="T128" s="61" t="n"/>
    </row>
    <row r="129" ht="18" customHeight="1">
      <c r="A129" s="54" t="n"/>
      <c r="B129" s="70">
        <f>IF(A129&lt;&gt;"",IFERROR(VLOOKUP(A129,Agenda!A:E,5,0),"—"),"")</f>
        <v/>
      </c>
      <c r="C129" s="71">
        <f>IF(A129&lt;&gt;"",IFERROR(VLOOKUP(A129,Agenda!A:K,11,0),"—"),"")</f>
        <v/>
      </c>
      <c r="D129" s="83" t="n"/>
      <c r="E129" s="80">
        <f>IF(A129&lt;&gt;"",IF(C129="Pick Up",7,IF(C129="1.5 Cerrada",9,IF(C129="2.5",10,IF(C129="3.5",12,0)))),"")</f>
        <v/>
      </c>
      <c r="F129" s="28">
        <f>IF(AND(D129&lt;&gt;"",E129&lt;&gt;""),D129*E129,"")</f>
        <v/>
      </c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81">
        <f>IF(A129&lt;&gt;"",IFERROR(F129+G129+H129+I129+J129+K129+L129+M129+N129+O129,0),"")</f>
        <v/>
      </c>
      <c r="Q129" s="74">
        <f>IF(A129&lt;&gt;"",IFERROR(VLOOKUP(A129,Agenda!A:N,14,0),0),"")</f>
        <v/>
      </c>
      <c r="R129" s="28">
        <f>IF(A129&lt;&gt;"",Q129-P129,"")</f>
        <v/>
      </c>
      <c r="S129" s="84">
        <f>IF(AND(A129&lt;&gt;"",Q129&lt;&gt;0),R129/Q129*100,"")</f>
        <v/>
      </c>
      <c r="T129" s="73" t="n"/>
    </row>
    <row r="130" ht="18" customHeight="1">
      <c r="A130" s="54" t="n"/>
      <c r="B130" s="58">
        <f>IF(A130&lt;&gt;"",IFERROR(VLOOKUP(A130,Agenda!A:E,5,0),"—"),"")</f>
        <v/>
      </c>
      <c r="C130" s="59">
        <f>IF(A130&lt;&gt;"",IFERROR(VLOOKUP(A130,Agenda!A:K,11,0),"—"),"")</f>
        <v/>
      </c>
      <c r="D130" s="79" t="n"/>
      <c r="E130" s="80">
        <f>IF(A130&lt;&gt;"",IF(C130="Pick Up",7,IF(C130="1.5 Cerrada",9,IF(C130="2.5",10,IF(C130="3.5",12,0)))),"")</f>
        <v/>
      </c>
      <c r="F130" s="28">
        <f>IF(AND(D130&lt;&gt;"",E130&lt;&gt;""),D130*E130,"")</f>
        <v/>
      </c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81">
        <f>IF(A130&lt;&gt;"",IFERROR(F130+G130+H130+I130+J130+K130+L130+M130+N130+O130,0),"")</f>
        <v/>
      </c>
      <c r="Q130" s="62">
        <f>IF(A130&lt;&gt;"",IFERROR(VLOOKUP(A130,Agenda!A:N,14,0),0),"")</f>
        <v/>
      </c>
      <c r="R130" s="28">
        <f>IF(A130&lt;&gt;"",Q130-P130,"")</f>
        <v/>
      </c>
      <c r="S130" s="82">
        <f>IF(AND(A130&lt;&gt;"",Q130&lt;&gt;0),R130/Q130*100,"")</f>
        <v/>
      </c>
      <c r="T130" s="61" t="n"/>
    </row>
    <row r="131" ht="18" customHeight="1">
      <c r="A131" s="54" t="n"/>
      <c r="B131" s="70">
        <f>IF(A131&lt;&gt;"",IFERROR(VLOOKUP(A131,Agenda!A:E,5,0),"—"),"")</f>
        <v/>
      </c>
      <c r="C131" s="71">
        <f>IF(A131&lt;&gt;"",IFERROR(VLOOKUP(A131,Agenda!A:K,11,0),"—"),"")</f>
        <v/>
      </c>
      <c r="D131" s="83" t="n"/>
      <c r="E131" s="80">
        <f>IF(A131&lt;&gt;"",IF(C131="Pick Up",7,IF(C131="1.5 Cerrada",9,IF(C131="2.5",10,IF(C131="3.5",12,0)))),"")</f>
        <v/>
      </c>
      <c r="F131" s="28">
        <f>IF(AND(D131&lt;&gt;"",E131&lt;&gt;""),D131*E131,"")</f>
        <v/>
      </c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81">
        <f>IF(A131&lt;&gt;"",IFERROR(F131+G131+H131+I131+J131+K131+L131+M131+N131+O131,0),"")</f>
        <v/>
      </c>
      <c r="Q131" s="74">
        <f>IF(A131&lt;&gt;"",IFERROR(VLOOKUP(A131,Agenda!A:N,14,0),0),"")</f>
        <v/>
      </c>
      <c r="R131" s="28">
        <f>IF(A131&lt;&gt;"",Q131-P131,"")</f>
        <v/>
      </c>
      <c r="S131" s="84">
        <f>IF(AND(A131&lt;&gt;"",Q131&lt;&gt;0),R131/Q131*100,"")</f>
        <v/>
      </c>
      <c r="T131" s="73" t="n"/>
    </row>
    <row r="132" ht="18" customHeight="1">
      <c r="A132" s="54" t="n"/>
      <c r="B132" s="58">
        <f>IF(A132&lt;&gt;"",IFERROR(VLOOKUP(A132,Agenda!A:E,5,0),"—"),"")</f>
        <v/>
      </c>
      <c r="C132" s="59">
        <f>IF(A132&lt;&gt;"",IFERROR(VLOOKUP(A132,Agenda!A:K,11,0),"—"),"")</f>
        <v/>
      </c>
      <c r="D132" s="79" t="n"/>
      <c r="E132" s="80">
        <f>IF(A132&lt;&gt;"",IF(C132="Pick Up",7,IF(C132="1.5 Cerrada",9,IF(C132="2.5",10,IF(C132="3.5",12,0)))),"")</f>
        <v/>
      </c>
      <c r="F132" s="28">
        <f>IF(AND(D132&lt;&gt;"",E132&lt;&gt;""),D132*E132,"")</f>
        <v/>
      </c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81">
        <f>IF(A132&lt;&gt;"",IFERROR(F132+G132+H132+I132+J132+K132+L132+M132+N132+O132,0),"")</f>
        <v/>
      </c>
      <c r="Q132" s="62">
        <f>IF(A132&lt;&gt;"",IFERROR(VLOOKUP(A132,Agenda!A:N,14,0),0),"")</f>
        <v/>
      </c>
      <c r="R132" s="28">
        <f>IF(A132&lt;&gt;"",Q132-P132,"")</f>
        <v/>
      </c>
      <c r="S132" s="82">
        <f>IF(AND(A132&lt;&gt;"",Q132&lt;&gt;0),R132/Q132*100,"")</f>
        <v/>
      </c>
      <c r="T132" s="61" t="n"/>
    </row>
    <row r="133" ht="18" customHeight="1">
      <c r="A133" s="54" t="n"/>
      <c r="B133" s="70">
        <f>IF(A133&lt;&gt;"",IFERROR(VLOOKUP(A133,Agenda!A:E,5,0),"—"),"")</f>
        <v/>
      </c>
      <c r="C133" s="71">
        <f>IF(A133&lt;&gt;"",IFERROR(VLOOKUP(A133,Agenda!A:K,11,0),"—"),"")</f>
        <v/>
      </c>
      <c r="D133" s="83" t="n"/>
      <c r="E133" s="80">
        <f>IF(A133&lt;&gt;"",IF(C133="Pick Up",7,IF(C133="1.5 Cerrada",9,IF(C133="2.5",10,IF(C133="3.5",12,0)))),"")</f>
        <v/>
      </c>
      <c r="F133" s="28">
        <f>IF(AND(D133&lt;&gt;"",E133&lt;&gt;""),D133*E133,"")</f>
        <v/>
      </c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81">
        <f>IF(A133&lt;&gt;"",IFERROR(F133+G133+H133+I133+J133+K133+L133+M133+N133+O133,0),"")</f>
        <v/>
      </c>
      <c r="Q133" s="74">
        <f>IF(A133&lt;&gt;"",IFERROR(VLOOKUP(A133,Agenda!A:N,14,0),0),"")</f>
        <v/>
      </c>
      <c r="R133" s="28">
        <f>IF(A133&lt;&gt;"",Q133-P133,"")</f>
        <v/>
      </c>
      <c r="S133" s="84">
        <f>IF(AND(A133&lt;&gt;"",Q133&lt;&gt;0),R133/Q133*100,"")</f>
        <v/>
      </c>
      <c r="T133" s="73" t="n"/>
    </row>
    <row r="134" ht="18" customHeight="1">
      <c r="A134" s="54" t="n"/>
      <c r="B134" s="58">
        <f>IF(A134&lt;&gt;"",IFERROR(VLOOKUP(A134,Agenda!A:E,5,0),"—"),"")</f>
        <v/>
      </c>
      <c r="C134" s="59">
        <f>IF(A134&lt;&gt;"",IFERROR(VLOOKUP(A134,Agenda!A:K,11,0),"—"),"")</f>
        <v/>
      </c>
      <c r="D134" s="79" t="n"/>
      <c r="E134" s="80">
        <f>IF(A134&lt;&gt;"",IF(C134="Pick Up",7,IF(C134="1.5 Cerrada",9,IF(C134="2.5",10,IF(C134="3.5",12,0)))),"")</f>
        <v/>
      </c>
      <c r="F134" s="28">
        <f>IF(AND(D134&lt;&gt;"",E134&lt;&gt;""),D134*E134,"")</f>
        <v/>
      </c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81">
        <f>IF(A134&lt;&gt;"",IFERROR(F134+G134+H134+I134+J134+K134+L134+M134+N134+O134,0),"")</f>
        <v/>
      </c>
      <c r="Q134" s="62">
        <f>IF(A134&lt;&gt;"",IFERROR(VLOOKUP(A134,Agenda!A:N,14,0),0),"")</f>
        <v/>
      </c>
      <c r="R134" s="28">
        <f>IF(A134&lt;&gt;"",Q134-P134,"")</f>
        <v/>
      </c>
      <c r="S134" s="82">
        <f>IF(AND(A134&lt;&gt;"",Q134&lt;&gt;0),R134/Q134*100,"")</f>
        <v/>
      </c>
      <c r="T134" s="61" t="n"/>
    </row>
    <row r="135" ht="18" customHeight="1">
      <c r="A135" s="54" t="n"/>
      <c r="B135" s="70">
        <f>IF(A135&lt;&gt;"",IFERROR(VLOOKUP(A135,Agenda!A:E,5,0),"—"),"")</f>
        <v/>
      </c>
      <c r="C135" s="71">
        <f>IF(A135&lt;&gt;"",IFERROR(VLOOKUP(A135,Agenda!A:K,11,0),"—"),"")</f>
        <v/>
      </c>
      <c r="D135" s="83" t="n"/>
      <c r="E135" s="80">
        <f>IF(A135&lt;&gt;"",IF(C135="Pick Up",7,IF(C135="1.5 Cerrada",9,IF(C135="2.5",10,IF(C135="3.5",12,0)))),"")</f>
        <v/>
      </c>
      <c r="F135" s="28">
        <f>IF(AND(D135&lt;&gt;"",E135&lt;&gt;""),D135*E135,"")</f>
        <v/>
      </c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81">
        <f>IF(A135&lt;&gt;"",IFERROR(F135+G135+H135+I135+J135+K135+L135+M135+N135+O135,0),"")</f>
        <v/>
      </c>
      <c r="Q135" s="74">
        <f>IF(A135&lt;&gt;"",IFERROR(VLOOKUP(A135,Agenda!A:N,14,0),0),"")</f>
        <v/>
      </c>
      <c r="R135" s="28">
        <f>IF(A135&lt;&gt;"",Q135-P135,"")</f>
        <v/>
      </c>
      <c r="S135" s="84">
        <f>IF(AND(A135&lt;&gt;"",Q135&lt;&gt;0),R135/Q135*100,"")</f>
        <v/>
      </c>
      <c r="T135" s="73" t="n"/>
    </row>
    <row r="136" ht="18" customHeight="1">
      <c r="A136" s="54" t="n"/>
      <c r="B136" s="58">
        <f>IF(A136&lt;&gt;"",IFERROR(VLOOKUP(A136,Agenda!A:E,5,0),"—"),"")</f>
        <v/>
      </c>
      <c r="C136" s="59">
        <f>IF(A136&lt;&gt;"",IFERROR(VLOOKUP(A136,Agenda!A:K,11,0),"—"),"")</f>
        <v/>
      </c>
      <c r="D136" s="79" t="n"/>
      <c r="E136" s="80">
        <f>IF(A136&lt;&gt;"",IF(C136="Pick Up",7,IF(C136="1.5 Cerrada",9,IF(C136="2.5",10,IF(C136="3.5",12,0)))),"")</f>
        <v/>
      </c>
      <c r="F136" s="28">
        <f>IF(AND(D136&lt;&gt;"",E136&lt;&gt;""),D136*E136,"")</f>
        <v/>
      </c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81">
        <f>IF(A136&lt;&gt;"",IFERROR(F136+G136+H136+I136+J136+K136+L136+M136+N136+O136,0),"")</f>
        <v/>
      </c>
      <c r="Q136" s="62">
        <f>IF(A136&lt;&gt;"",IFERROR(VLOOKUP(A136,Agenda!A:N,14,0),0),"")</f>
        <v/>
      </c>
      <c r="R136" s="28">
        <f>IF(A136&lt;&gt;"",Q136-P136,"")</f>
        <v/>
      </c>
      <c r="S136" s="82">
        <f>IF(AND(A136&lt;&gt;"",Q136&lt;&gt;0),R136/Q136*100,"")</f>
        <v/>
      </c>
      <c r="T136" s="61" t="n"/>
    </row>
    <row r="137" ht="18" customHeight="1">
      <c r="A137" s="54" t="n"/>
      <c r="B137" s="70">
        <f>IF(A137&lt;&gt;"",IFERROR(VLOOKUP(A137,Agenda!A:E,5,0),"—"),"")</f>
        <v/>
      </c>
      <c r="C137" s="71">
        <f>IF(A137&lt;&gt;"",IFERROR(VLOOKUP(A137,Agenda!A:K,11,0),"—"),"")</f>
        <v/>
      </c>
      <c r="D137" s="83" t="n"/>
      <c r="E137" s="80">
        <f>IF(A137&lt;&gt;"",IF(C137="Pick Up",7,IF(C137="1.5 Cerrada",9,IF(C137="2.5",10,IF(C137="3.5",12,0)))),"")</f>
        <v/>
      </c>
      <c r="F137" s="28">
        <f>IF(AND(D137&lt;&gt;"",E137&lt;&gt;""),D137*E137,"")</f>
        <v/>
      </c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81">
        <f>IF(A137&lt;&gt;"",IFERROR(F137+G137+H137+I137+J137+K137+L137+M137+N137+O137,0),"")</f>
        <v/>
      </c>
      <c r="Q137" s="74">
        <f>IF(A137&lt;&gt;"",IFERROR(VLOOKUP(A137,Agenda!A:N,14,0),0),"")</f>
        <v/>
      </c>
      <c r="R137" s="28">
        <f>IF(A137&lt;&gt;"",Q137-P137,"")</f>
        <v/>
      </c>
      <c r="S137" s="84">
        <f>IF(AND(A137&lt;&gt;"",Q137&lt;&gt;0),R137/Q137*100,"")</f>
        <v/>
      </c>
      <c r="T137" s="73" t="n"/>
    </row>
    <row r="138" ht="18" customHeight="1">
      <c r="A138" s="54" t="n"/>
      <c r="B138" s="58">
        <f>IF(A138&lt;&gt;"",IFERROR(VLOOKUP(A138,Agenda!A:E,5,0),"—"),"")</f>
        <v/>
      </c>
      <c r="C138" s="59">
        <f>IF(A138&lt;&gt;"",IFERROR(VLOOKUP(A138,Agenda!A:K,11,0),"—"),"")</f>
        <v/>
      </c>
      <c r="D138" s="79" t="n"/>
      <c r="E138" s="80">
        <f>IF(A138&lt;&gt;"",IF(C138="Pick Up",7,IF(C138="1.5 Cerrada",9,IF(C138="2.5",10,IF(C138="3.5",12,0)))),"")</f>
        <v/>
      </c>
      <c r="F138" s="28">
        <f>IF(AND(D138&lt;&gt;"",E138&lt;&gt;""),D138*E138,"")</f>
        <v/>
      </c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81">
        <f>IF(A138&lt;&gt;"",IFERROR(F138+G138+H138+I138+J138+K138+L138+M138+N138+O138,0),"")</f>
        <v/>
      </c>
      <c r="Q138" s="62">
        <f>IF(A138&lt;&gt;"",IFERROR(VLOOKUP(A138,Agenda!A:N,14,0),0),"")</f>
        <v/>
      </c>
      <c r="R138" s="28">
        <f>IF(A138&lt;&gt;"",Q138-P138,"")</f>
        <v/>
      </c>
      <c r="S138" s="82">
        <f>IF(AND(A138&lt;&gt;"",Q138&lt;&gt;0),R138/Q138*100,"")</f>
        <v/>
      </c>
      <c r="T138" s="61" t="n"/>
    </row>
    <row r="139" ht="18" customHeight="1">
      <c r="A139" s="54" t="n"/>
      <c r="B139" s="70">
        <f>IF(A139&lt;&gt;"",IFERROR(VLOOKUP(A139,Agenda!A:E,5,0),"—"),"")</f>
        <v/>
      </c>
      <c r="C139" s="71">
        <f>IF(A139&lt;&gt;"",IFERROR(VLOOKUP(A139,Agenda!A:K,11,0),"—"),"")</f>
        <v/>
      </c>
      <c r="D139" s="83" t="n"/>
      <c r="E139" s="80">
        <f>IF(A139&lt;&gt;"",IF(C139="Pick Up",7,IF(C139="1.5 Cerrada",9,IF(C139="2.5",10,IF(C139="3.5",12,0)))),"")</f>
        <v/>
      </c>
      <c r="F139" s="28">
        <f>IF(AND(D139&lt;&gt;"",E139&lt;&gt;""),D139*E139,"")</f>
        <v/>
      </c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81">
        <f>IF(A139&lt;&gt;"",IFERROR(F139+G139+H139+I139+J139+K139+L139+M139+N139+O139,0),"")</f>
        <v/>
      </c>
      <c r="Q139" s="74">
        <f>IF(A139&lt;&gt;"",IFERROR(VLOOKUP(A139,Agenda!A:N,14,0),0),"")</f>
        <v/>
      </c>
      <c r="R139" s="28">
        <f>IF(A139&lt;&gt;"",Q139-P139,"")</f>
        <v/>
      </c>
      <c r="S139" s="84">
        <f>IF(AND(A139&lt;&gt;"",Q139&lt;&gt;0),R139/Q139*100,"")</f>
        <v/>
      </c>
      <c r="T139" s="73" t="n"/>
    </row>
    <row r="140" ht="18" customHeight="1">
      <c r="A140" s="54" t="n"/>
      <c r="B140" s="58">
        <f>IF(A140&lt;&gt;"",IFERROR(VLOOKUP(A140,Agenda!A:E,5,0),"—"),"")</f>
        <v/>
      </c>
      <c r="C140" s="59">
        <f>IF(A140&lt;&gt;"",IFERROR(VLOOKUP(A140,Agenda!A:K,11,0),"—"),"")</f>
        <v/>
      </c>
      <c r="D140" s="79" t="n"/>
      <c r="E140" s="80">
        <f>IF(A140&lt;&gt;"",IF(C140="Pick Up",7,IF(C140="1.5 Cerrada",9,IF(C140="2.5",10,IF(C140="3.5",12,0)))),"")</f>
        <v/>
      </c>
      <c r="F140" s="28">
        <f>IF(AND(D140&lt;&gt;"",E140&lt;&gt;""),D140*E140,"")</f>
        <v/>
      </c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81">
        <f>IF(A140&lt;&gt;"",IFERROR(F140+G140+H140+I140+J140+K140+L140+M140+N140+O140,0),"")</f>
        <v/>
      </c>
      <c r="Q140" s="62">
        <f>IF(A140&lt;&gt;"",IFERROR(VLOOKUP(A140,Agenda!A:N,14,0),0),"")</f>
        <v/>
      </c>
      <c r="R140" s="28">
        <f>IF(A140&lt;&gt;"",Q140-P140,"")</f>
        <v/>
      </c>
      <c r="S140" s="82">
        <f>IF(AND(A140&lt;&gt;"",Q140&lt;&gt;0),R140/Q140*100,"")</f>
        <v/>
      </c>
      <c r="T140" s="61" t="n"/>
    </row>
    <row r="141" ht="18" customHeight="1">
      <c r="A141" s="54" t="n"/>
      <c r="B141" s="70">
        <f>IF(A141&lt;&gt;"",IFERROR(VLOOKUP(A141,Agenda!A:E,5,0),"—"),"")</f>
        <v/>
      </c>
      <c r="C141" s="71">
        <f>IF(A141&lt;&gt;"",IFERROR(VLOOKUP(A141,Agenda!A:K,11,0),"—"),"")</f>
        <v/>
      </c>
      <c r="D141" s="83" t="n"/>
      <c r="E141" s="80">
        <f>IF(A141&lt;&gt;"",IF(C141="Pick Up",7,IF(C141="1.5 Cerrada",9,IF(C141="2.5",10,IF(C141="3.5",12,0)))),"")</f>
        <v/>
      </c>
      <c r="F141" s="28">
        <f>IF(AND(D141&lt;&gt;"",E141&lt;&gt;""),D141*E141,"")</f>
        <v/>
      </c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81">
        <f>IF(A141&lt;&gt;"",IFERROR(F141+G141+H141+I141+J141+K141+L141+M141+N141+O141,0),"")</f>
        <v/>
      </c>
      <c r="Q141" s="74">
        <f>IF(A141&lt;&gt;"",IFERROR(VLOOKUP(A141,Agenda!A:N,14,0),0),"")</f>
        <v/>
      </c>
      <c r="R141" s="28">
        <f>IF(A141&lt;&gt;"",Q141-P141,"")</f>
        <v/>
      </c>
      <c r="S141" s="84">
        <f>IF(AND(A141&lt;&gt;"",Q141&lt;&gt;0),R141/Q141*100,"")</f>
        <v/>
      </c>
      <c r="T141" s="73" t="n"/>
    </row>
    <row r="142" ht="18" customHeight="1">
      <c r="A142" s="54" t="n"/>
      <c r="B142" s="58">
        <f>IF(A142&lt;&gt;"",IFERROR(VLOOKUP(A142,Agenda!A:E,5,0),"—"),"")</f>
        <v/>
      </c>
      <c r="C142" s="59">
        <f>IF(A142&lt;&gt;"",IFERROR(VLOOKUP(A142,Agenda!A:K,11,0),"—"),"")</f>
        <v/>
      </c>
      <c r="D142" s="79" t="n"/>
      <c r="E142" s="80">
        <f>IF(A142&lt;&gt;"",IF(C142="Pick Up",7,IF(C142="1.5 Cerrada",9,IF(C142="2.5",10,IF(C142="3.5",12,0)))),"")</f>
        <v/>
      </c>
      <c r="F142" s="28">
        <f>IF(AND(D142&lt;&gt;"",E142&lt;&gt;""),D142*E142,"")</f>
        <v/>
      </c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81">
        <f>IF(A142&lt;&gt;"",IFERROR(F142+G142+H142+I142+J142+K142+L142+M142+N142+O142,0),"")</f>
        <v/>
      </c>
      <c r="Q142" s="62">
        <f>IF(A142&lt;&gt;"",IFERROR(VLOOKUP(A142,Agenda!A:N,14,0),0),"")</f>
        <v/>
      </c>
      <c r="R142" s="28">
        <f>IF(A142&lt;&gt;"",Q142-P142,"")</f>
        <v/>
      </c>
      <c r="S142" s="82">
        <f>IF(AND(A142&lt;&gt;"",Q142&lt;&gt;0),R142/Q142*100,"")</f>
        <v/>
      </c>
      <c r="T142" s="61" t="n"/>
    </row>
    <row r="143" ht="18" customHeight="1">
      <c r="A143" s="54" t="n"/>
      <c r="B143" s="70">
        <f>IF(A143&lt;&gt;"",IFERROR(VLOOKUP(A143,Agenda!A:E,5,0),"—"),"")</f>
        <v/>
      </c>
      <c r="C143" s="71">
        <f>IF(A143&lt;&gt;"",IFERROR(VLOOKUP(A143,Agenda!A:K,11,0),"—"),"")</f>
        <v/>
      </c>
      <c r="D143" s="83" t="n"/>
      <c r="E143" s="80">
        <f>IF(A143&lt;&gt;"",IF(C143="Pick Up",7,IF(C143="1.5 Cerrada",9,IF(C143="2.5",10,IF(C143="3.5",12,0)))),"")</f>
        <v/>
      </c>
      <c r="F143" s="28">
        <f>IF(AND(D143&lt;&gt;"",E143&lt;&gt;""),D143*E143,"")</f>
        <v/>
      </c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81">
        <f>IF(A143&lt;&gt;"",IFERROR(F143+G143+H143+I143+J143+K143+L143+M143+N143+O143,0),"")</f>
        <v/>
      </c>
      <c r="Q143" s="74">
        <f>IF(A143&lt;&gt;"",IFERROR(VLOOKUP(A143,Agenda!A:N,14,0),0),"")</f>
        <v/>
      </c>
      <c r="R143" s="28">
        <f>IF(A143&lt;&gt;"",Q143-P143,"")</f>
        <v/>
      </c>
      <c r="S143" s="84">
        <f>IF(AND(A143&lt;&gt;"",Q143&lt;&gt;0),R143/Q143*100,"")</f>
        <v/>
      </c>
      <c r="T143" s="73" t="n"/>
    </row>
    <row r="144" ht="18" customHeight="1">
      <c r="A144" s="54" t="n"/>
      <c r="B144" s="58">
        <f>IF(A144&lt;&gt;"",IFERROR(VLOOKUP(A144,Agenda!A:E,5,0),"—"),"")</f>
        <v/>
      </c>
      <c r="C144" s="59">
        <f>IF(A144&lt;&gt;"",IFERROR(VLOOKUP(A144,Agenda!A:K,11,0),"—"),"")</f>
        <v/>
      </c>
      <c r="D144" s="79" t="n"/>
      <c r="E144" s="80">
        <f>IF(A144&lt;&gt;"",IF(C144="Pick Up",7,IF(C144="1.5 Cerrada",9,IF(C144="2.5",10,IF(C144="3.5",12,0)))),"")</f>
        <v/>
      </c>
      <c r="F144" s="28">
        <f>IF(AND(D144&lt;&gt;"",E144&lt;&gt;""),D144*E144,"")</f>
        <v/>
      </c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81">
        <f>IF(A144&lt;&gt;"",IFERROR(F144+G144+H144+I144+J144+K144+L144+M144+N144+O144,0),"")</f>
        <v/>
      </c>
      <c r="Q144" s="62">
        <f>IF(A144&lt;&gt;"",IFERROR(VLOOKUP(A144,Agenda!A:N,14,0),0),"")</f>
        <v/>
      </c>
      <c r="R144" s="28">
        <f>IF(A144&lt;&gt;"",Q144-P144,"")</f>
        <v/>
      </c>
      <c r="S144" s="82">
        <f>IF(AND(A144&lt;&gt;"",Q144&lt;&gt;0),R144/Q144*100,"")</f>
        <v/>
      </c>
      <c r="T144" s="61" t="n"/>
    </row>
    <row r="145" ht="18" customHeight="1">
      <c r="A145" s="54" t="n"/>
      <c r="B145" s="70">
        <f>IF(A145&lt;&gt;"",IFERROR(VLOOKUP(A145,Agenda!A:E,5,0),"—"),"")</f>
        <v/>
      </c>
      <c r="C145" s="71">
        <f>IF(A145&lt;&gt;"",IFERROR(VLOOKUP(A145,Agenda!A:K,11,0),"—"),"")</f>
        <v/>
      </c>
      <c r="D145" s="83" t="n"/>
      <c r="E145" s="80">
        <f>IF(A145&lt;&gt;"",IF(C145="Pick Up",7,IF(C145="1.5 Cerrada",9,IF(C145="2.5",10,IF(C145="3.5",12,0)))),"")</f>
        <v/>
      </c>
      <c r="F145" s="28">
        <f>IF(AND(D145&lt;&gt;"",E145&lt;&gt;""),D145*E145,"")</f>
        <v/>
      </c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81">
        <f>IF(A145&lt;&gt;"",IFERROR(F145+G145+H145+I145+J145+K145+L145+M145+N145+O145,0),"")</f>
        <v/>
      </c>
      <c r="Q145" s="74">
        <f>IF(A145&lt;&gt;"",IFERROR(VLOOKUP(A145,Agenda!A:N,14,0),0),"")</f>
        <v/>
      </c>
      <c r="R145" s="28">
        <f>IF(A145&lt;&gt;"",Q145-P145,"")</f>
        <v/>
      </c>
      <c r="S145" s="84">
        <f>IF(AND(A145&lt;&gt;"",Q145&lt;&gt;0),R145/Q145*100,"")</f>
        <v/>
      </c>
      <c r="T145" s="73" t="n"/>
    </row>
    <row r="146" ht="18" customHeight="1">
      <c r="A146" s="54" t="n"/>
      <c r="B146" s="58">
        <f>IF(A146&lt;&gt;"",IFERROR(VLOOKUP(A146,Agenda!A:E,5,0),"—"),"")</f>
        <v/>
      </c>
      <c r="C146" s="59">
        <f>IF(A146&lt;&gt;"",IFERROR(VLOOKUP(A146,Agenda!A:K,11,0),"—"),"")</f>
        <v/>
      </c>
      <c r="D146" s="79" t="n"/>
      <c r="E146" s="80">
        <f>IF(A146&lt;&gt;"",IF(C146="Pick Up",7,IF(C146="1.5 Cerrada",9,IF(C146="2.5",10,IF(C146="3.5",12,0)))),"")</f>
        <v/>
      </c>
      <c r="F146" s="28">
        <f>IF(AND(D146&lt;&gt;"",E146&lt;&gt;""),D146*E146,"")</f>
        <v/>
      </c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81">
        <f>IF(A146&lt;&gt;"",IFERROR(F146+G146+H146+I146+J146+K146+L146+M146+N146+O146,0),"")</f>
        <v/>
      </c>
      <c r="Q146" s="62">
        <f>IF(A146&lt;&gt;"",IFERROR(VLOOKUP(A146,Agenda!A:N,14,0),0),"")</f>
        <v/>
      </c>
      <c r="R146" s="28">
        <f>IF(A146&lt;&gt;"",Q146-P146,"")</f>
        <v/>
      </c>
      <c r="S146" s="82">
        <f>IF(AND(A146&lt;&gt;"",Q146&lt;&gt;0),R146/Q146*100,"")</f>
        <v/>
      </c>
      <c r="T146" s="61" t="n"/>
    </row>
    <row r="147" ht="18" customHeight="1">
      <c r="A147" s="54" t="n"/>
      <c r="B147" s="70">
        <f>IF(A147&lt;&gt;"",IFERROR(VLOOKUP(A147,Agenda!A:E,5,0),"—"),"")</f>
        <v/>
      </c>
      <c r="C147" s="71">
        <f>IF(A147&lt;&gt;"",IFERROR(VLOOKUP(A147,Agenda!A:K,11,0),"—"),"")</f>
        <v/>
      </c>
      <c r="D147" s="83" t="n"/>
      <c r="E147" s="80">
        <f>IF(A147&lt;&gt;"",IF(C147="Pick Up",7,IF(C147="1.5 Cerrada",9,IF(C147="2.5",10,IF(C147="3.5",12,0)))),"")</f>
        <v/>
      </c>
      <c r="F147" s="28">
        <f>IF(AND(D147&lt;&gt;"",E147&lt;&gt;""),D147*E147,"")</f>
        <v/>
      </c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81">
        <f>IF(A147&lt;&gt;"",IFERROR(F147+G147+H147+I147+J147+K147+L147+M147+N147+O147,0),"")</f>
        <v/>
      </c>
      <c r="Q147" s="74">
        <f>IF(A147&lt;&gt;"",IFERROR(VLOOKUP(A147,Agenda!A:N,14,0),0),"")</f>
        <v/>
      </c>
      <c r="R147" s="28">
        <f>IF(A147&lt;&gt;"",Q147-P147,"")</f>
        <v/>
      </c>
      <c r="S147" s="84">
        <f>IF(AND(A147&lt;&gt;"",Q147&lt;&gt;0),R147/Q147*100,"")</f>
        <v/>
      </c>
      <c r="T147" s="73" t="n"/>
    </row>
    <row r="148" ht="18" customHeight="1">
      <c r="A148" s="54" t="n"/>
      <c r="B148" s="58">
        <f>IF(A148&lt;&gt;"",IFERROR(VLOOKUP(A148,Agenda!A:E,5,0),"—"),"")</f>
        <v/>
      </c>
      <c r="C148" s="59">
        <f>IF(A148&lt;&gt;"",IFERROR(VLOOKUP(A148,Agenda!A:K,11,0),"—"),"")</f>
        <v/>
      </c>
      <c r="D148" s="79" t="n"/>
      <c r="E148" s="80">
        <f>IF(A148&lt;&gt;"",IF(C148="Pick Up",7,IF(C148="1.5 Cerrada",9,IF(C148="2.5",10,IF(C148="3.5",12,0)))),"")</f>
        <v/>
      </c>
      <c r="F148" s="28">
        <f>IF(AND(D148&lt;&gt;"",E148&lt;&gt;""),D148*E148,"")</f>
        <v/>
      </c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81">
        <f>IF(A148&lt;&gt;"",IFERROR(F148+G148+H148+I148+J148+K148+L148+M148+N148+O148,0),"")</f>
        <v/>
      </c>
      <c r="Q148" s="62">
        <f>IF(A148&lt;&gt;"",IFERROR(VLOOKUP(A148,Agenda!A:N,14,0),0),"")</f>
        <v/>
      </c>
      <c r="R148" s="28">
        <f>IF(A148&lt;&gt;"",Q148-P148,"")</f>
        <v/>
      </c>
      <c r="S148" s="82">
        <f>IF(AND(A148&lt;&gt;"",Q148&lt;&gt;0),R148/Q148*100,"")</f>
        <v/>
      </c>
      <c r="T148" s="61" t="n"/>
    </row>
    <row r="149" ht="18" customHeight="1">
      <c r="A149" s="54" t="n"/>
      <c r="B149" s="70">
        <f>IF(A149&lt;&gt;"",IFERROR(VLOOKUP(A149,Agenda!A:E,5,0),"—"),"")</f>
        <v/>
      </c>
      <c r="C149" s="71">
        <f>IF(A149&lt;&gt;"",IFERROR(VLOOKUP(A149,Agenda!A:K,11,0),"—"),"")</f>
        <v/>
      </c>
      <c r="D149" s="83" t="n"/>
      <c r="E149" s="80">
        <f>IF(A149&lt;&gt;"",IF(C149="Pick Up",7,IF(C149="1.5 Cerrada",9,IF(C149="2.5",10,IF(C149="3.5",12,0)))),"")</f>
        <v/>
      </c>
      <c r="F149" s="28">
        <f>IF(AND(D149&lt;&gt;"",E149&lt;&gt;""),D149*E149,"")</f>
        <v/>
      </c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81">
        <f>IF(A149&lt;&gt;"",IFERROR(F149+G149+H149+I149+J149+K149+L149+M149+N149+O149,0),"")</f>
        <v/>
      </c>
      <c r="Q149" s="74">
        <f>IF(A149&lt;&gt;"",IFERROR(VLOOKUP(A149,Agenda!A:N,14,0),0),"")</f>
        <v/>
      </c>
      <c r="R149" s="28">
        <f>IF(A149&lt;&gt;"",Q149-P149,"")</f>
        <v/>
      </c>
      <c r="S149" s="84">
        <f>IF(AND(A149&lt;&gt;"",Q149&lt;&gt;0),R149/Q149*100,"")</f>
        <v/>
      </c>
      <c r="T149" s="73" t="n"/>
    </row>
    <row r="150" ht="18" customHeight="1">
      <c r="A150" s="54" t="n"/>
      <c r="B150" s="58">
        <f>IF(A150&lt;&gt;"",IFERROR(VLOOKUP(A150,Agenda!A:E,5,0),"—"),"")</f>
        <v/>
      </c>
      <c r="C150" s="59">
        <f>IF(A150&lt;&gt;"",IFERROR(VLOOKUP(A150,Agenda!A:K,11,0),"—"),"")</f>
        <v/>
      </c>
      <c r="D150" s="79" t="n"/>
      <c r="E150" s="80">
        <f>IF(A150&lt;&gt;"",IF(C150="Pick Up",7,IF(C150="1.5 Cerrada",9,IF(C150="2.5",10,IF(C150="3.5",12,0)))),"")</f>
        <v/>
      </c>
      <c r="F150" s="28">
        <f>IF(AND(D150&lt;&gt;"",E150&lt;&gt;""),D150*E150,"")</f>
        <v/>
      </c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81">
        <f>IF(A150&lt;&gt;"",IFERROR(F150+G150+H150+I150+J150+K150+L150+M150+N150+O150,0),"")</f>
        <v/>
      </c>
      <c r="Q150" s="62">
        <f>IF(A150&lt;&gt;"",IFERROR(VLOOKUP(A150,Agenda!A:N,14,0),0),"")</f>
        <v/>
      </c>
      <c r="R150" s="28">
        <f>IF(A150&lt;&gt;"",Q150-P150,"")</f>
        <v/>
      </c>
      <c r="S150" s="82">
        <f>IF(AND(A150&lt;&gt;"",Q150&lt;&gt;0),R150/Q150*100,"")</f>
        <v/>
      </c>
      <c r="T150" s="61" t="n"/>
    </row>
    <row r="151" ht="18" customHeight="1">
      <c r="A151" s="54" t="n"/>
      <c r="B151" s="70">
        <f>IF(A151&lt;&gt;"",IFERROR(VLOOKUP(A151,Agenda!A:E,5,0),"—"),"")</f>
        <v/>
      </c>
      <c r="C151" s="71">
        <f>IF(A151&lt;&gt;"",IFERROR(VLOOKUP(A151,Agenda!A:K,11,0),"—"),"")</f>
        <v/>
      </c>
      <c r="D151" s="83" t="n"/>
      <c r="E151" s="80">
        <f>IF(A151&lt;&gt;"",IF(C151="Pick Up",7,IF(C151="1.5 Cerrada",9,IF(C151="2.5",10,IF(C151="3.5",12,0)))),"")</f>
        <v/>
      </c>
      <c r="F151" s="28">
        <f>IF(AND(D151&lt;&gt;"",E151&lt;&gt;""),D151*E151,"")</f>
        <v/>
      </c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81">
        <f>IF(A151&lt;&gt;"",IFERROR(F151+G151+H151+I151+J151+K151+L151+M151+N151+O151,0),"")</f>
        <v/>
      </c>
      <c r="Q151" s="74">
        <f>IF(A151&lt;&gt;"",IFERROR(VLOOKUP(A151,Agenda!A:N,14,0),0),"")</f>
        <v/>
      </c>
      <c r="R151" s="28">
        <f>IF(A151&lt;&gt;"",Q151-P151,"")</f>
        <v/>
      </c>
      <c r="S151" s="84">
        <f>IF(AND(A151&lt;&gt;"",Q151&lt;&gt;0),R151/Q151*100,"")</f>
        <v/>
      </c>
      <c r="T151" s="73" t="n"/>
    </row>
    <row r="152" ht="18" customHeight="1">
      <c r="A152" s="54" t="n"/>
      <c r="B152" s="58">
        <f>IF(A152&lt;&gt;"",IFERROR(VLOOKUP(A152,Agenda!A:E,5,0),"—"),"")</f>
        <v/>
      </c>
      <c r="C152" s="59">
        <f>IF(A152&lt;&gt;"",IFERROR(VLOOKUP(A152,Agenda!A:K,11,0),"—"),"")</f>
        <v/>
      </c>
      <c r="D152" s="79" t="n"/>
      <c r="E152" s="80">
        <f>IF(A152&lt;&gt;"",IF(C152="Pick Up",7,IF(C152="1.5 Cerrada",9,IF(C152="2.5",10,IF(C152="3.5",12,0)))),"")</f>
        <v/>
      </c>
      <c r="F152" s="28">
        <f>IF(AND(D152&lt;&gt;"",E152&lt;&gt;""),D152*E152,"")</f>
        <v/>
      </c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81">
        <f>IF(A152&lt;&gt;"",IFERROR(F152+G152+H152+I152+J152+K152+L152+M152+N152+O152,0),"")</f>
        <v/>
      </c>
      <c r="Q152" s="62">
        <f>IF(A152&lt;&gt;"",IFERROR(VLOOKUP(A152,Agenda!A:N,14,0),0),"")</f>
        <v/>
      </c>
      <c r="R152" s="28">
        <f>IF(A152&lt;&gt;"",Q152-P152,"")</f>
        <v/>
      </c>
      <c r="S152" s="82">
        <f>IF(AND(A152&lt;&gt;"",Q152&lt;&gt;0),R152/Q152*100,"")</f>
        <v/>
      </c>
      <c r="T152" s="61" t="n"/>
    </row>
    <row r="153" ht="18" customHeight="1">
      <c r="A153" s="54" t="n"/>
      <c r="B153" s="70">
        <f>IF(A153&lt;&gt;"",IFERROR(VLOOKUP(A153,Agenda!A:E,5,0),"—"),"")</f>
        <v/>
      </c>
      <c r="C153" s="71">
        <f>IF(A153&lt;&gt;"",IFERROR(VLOOKUP(A153,Agenda!A:K,11,0),"—"),"")</f>
        <v/>
      </c>
      <c r="D153" s="83" t="n"/>
      <c r="E153" s="80">
        <f>IF(A153&lt;&gt;"",IF(C153="Pick Up",7,IF(C153="1.5 Cerrada",9,IF(C153="2.5",10,IF(C153="3.5",12,0)))),"")</f>
        <v/>
      </c>
      <c r="F153" s="28">
        <f>IF(AND(D153&lt;&gt;"",E153&lt;&gt;""),D153*E153,"")</f>
        <v/>
      </c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81">
        <f>IF(A153&lt;&gt;"",IFERROR(F153+G153+H153+I153+J153+K153+L153+M153+N153+O153,0),"")</f>
        <v/>
      </c>
      <c r="Q153" s="74">
        <f>IF(A153&lt;&gt;"",IFERROR(VLOOKUP(A153,Agenda!A:N,14,0),0),"")</f>
        <v/>
      </c>
      <c r="R153" s="28">
        <f>IF(A153&lt;&gt;"",Q153-P153,"")</f>
        <v/>
      </c>
      <c r="S153" s="84">
        <f>IF(AND(A153&lt;&gt;"",Q153&lt;&gt;0),R153/Q153*100,"")</f>
        <v/>
      </c>
      <c r="T153" s="73" t="n"/>
    </row>
    <row r="154" ht="18" customHeight="1">
      <c r="A154" s="54" t="n"/>
      <c r="B154" s="58">
        <f>IF(A154&lt;&gt;"",IFERROR(VLOOKUP(A154,Agenda!A:E,5,0),"—"),"")</f>
        <v/>
      </c>
      <c r="C154" s="59">
        <f>IF(A154&lt;&gt;"",IFERROR(VLOOKUP(A154,Agenda!A:K,11,0),"—"),"")</f>
        <v/>
      </c>
      <c r="D154" s="79" t="n"/>
      <c r="E154" s="80">
        <f>IF(A154&lt;&gt;"",IF(C154="Pick Up",7,IF(C154="1.5 Cerrada",9,IF(C154="2.5",10,IF(C154="3.5",12,0)))),"")</f>
        <v/>
      </c>
      <c r="F154" s="28">
        <f>IF(AND(D154&lt;&gt;"",E154&lt;&gt;""),D154*E154,"")</f>
        <v/>
      </c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81">
        <f>IF(A154&lt;&gt;"",IFERROR(F154+G154+H154+I154+J154+K154+L154+M154+N154+O154,0),"")</f>
        <v/>
      </c>
      <c r="Q154" s="62">
        <f>IF(A154&lt;&gt;"",IFERROR(VLOOKUP(A154,Agenda!A:N,14,0),0),"")</f>
        <v/>
      </c>
      <c r="R154" s="28">
        <f>IF(A154&lt;&gt;"",Q154-P154,"")</f>
        <v/>
      </c>
      <c r="S154" s="82">
        <f>IF(AND(A154&lt;&gt;"",Q154&lt;&gt;0),R154/Q154*100,"")</f>
        <v/>
      </c>
      <c r="T154" s="61" t="n"/>
    </row>
    <row r="155" ht="18" customHeight="1">
      <c r="A155" s="54" t="n"/>
      <c r="B155" s="70">
        <f>IF(A155&lt;&gt;"",IFERROR(VLOOKUP(A155,Agenda!A:E,5,0),"—"),"")</f>
        <v/>
      </c>
      <c r="C155" s="71">
        <f>IF(A155&lt;&gt;"",IFERROR(VLOOKUP(A155,Agenda!A:K,11,0),"—"),"")</f>
        <v/>
      </c>
      <c r="D155" s="83" t="n"/>
      <c r="E155" s="80">
        <f>IF(A155&lt;&gt;"",IF(C155="Pick Up",7,IF(C155="1.5 Cerrada",9,IF(C155="2.5",10,IF(C155="3.5",12,0)))),"")</f>
        <v/>
      </c>
      <c r="F155" s="28">
        <f>IF(AND(D155&lt;&gt;"",E155&lt;&gt;""),D155*E155,"")</f>
        <v/>
      </c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81">
        <f>IF(A155&lt;&gt;"",IFERROR(F155+G155+H155+I155+J155+K155+L155+M155+N155+O155,0),"")</f>
        <v/>
      </c>
      <c r="Q155" s="74">
        <f>IF(A155&lt;&gt;"",IFERROR(VLOOKUP(A155,Agenda!A:N,14,0),0),"")</f>
        <v/>
      </c>
      <c r="R155" s="28">
        <f>IF(A155&lt;&gt;"",Q155-P155,"")</f>
        <v/>
      </c>
      <c r="S155" s="84">
        <f>IF(AND(A155&lt;&gt;"",Q155&lt;&gt;0),R155/Q155*100,"")</f>
        <v/>
      </c>
      <c r="T155" s="73" t="n"/>
    </row>
    <row r="156" ht="18" customHeight="1">
      <c r="A156" s="54" t="n"/>
      <c r="B156" s="58">
        <f>IF(A156&lt;&gt;"",IFERROR(VLOOKUP(A156,Agenda!A:E,5,0),"—"),"")</f>
        <v/>
      </c>
      <c r="C156" s="59">
        <f>IF(A156&lt;&gt;"",IFERROR(VLOOKUP(A156,Agenda!A:K,11,0),"—"),"")</f>
        <v/>
      </c>
      <c r="D156" s="79" t="n"/>
      <c r="E156" s="80">
        <f>IF(A156&lt;&gt;"",IF(C156="Pick Up",7,IF(C156="1.5 Cerrada",9,IF(C156="2.5",10,IF(C156="3.5",12,0)))),"")</f>
        <v/>
      </c>
      <c r="F156" s="28">
        <f>IF(AND(D156&lt;&gt;"",E156&lt;&gt;""),D156*E156,"")</f>
        <v/>
      </c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81">
        <f>IF(A156&lt;&gt;"",IFERROR(F156+G156+H156+I156+J156+K156+L156+M156+N156+O156,0),"")</f>
        <v/>
      </c>
      <c r="Q156" s="62">
        <f>IF(A156&lt;&gt;"",IFERROR(VLOOKUP(A156,Agenda!A:N,14,0),0),"")</f>
        <v/>
      </c>
      <c r="R156" s="28">
        <f>IF(A156&lt;&gt;"",Q156-P156,"")</f>
        <v/>
      </c>
      <c r="S156" s="82">
        <f>IF(AND(A156&lt;&gt;"",Q156&lt;&gt;0),R156/Q156*100,"")</f>
        <v/>
      </c>
      <c r="T156" s="61" t="n"/>
    </row>
    <row r="157" ht="18" customHeight="1">
      <c r="A157" s="54" t="n"/>
      <c r="B157" s="70">
        <f>IF(A157&lt;&gt;"",IFERROR(VLOOKUP(A157,Agenda!A:E,5,0),"—"),"")</f>
        <v/>
      </c>
      <c r="C157" s="71">
        <f>IF(A157&lt;&gt;"",IFERROR(VLOOKUP(A157,Agenda!A:K,11,0),"—"),"")</f>
        <v/>
      </c>
      <c r="D157" s="83" t="n"/>
      <c r="E157" s="80">
        <f>IF(A157&lt;&gt;"",IF(C157="Pick Up",7,IF(C157="1.5 Cerrada",9,IF(C157="2.5",10,IF(C157="3.5",12,0)))),"")</f>
        <v/>
      </c>
      <c r="F157" s="28">
        <f>IF(AND(D157&lt;&gt;"",E157&lt;&gt;""),D157*E157,"")</f>
        <v/>
      </c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81">
        <f>IF(A157&lt;&gt;"",IFERROR(F157+G157+H157+I157+J157+K157+L157+M157+N157+O157,0),"")</f>
        <v/>
      </c>
      <c r="Q157" s="74">
        <f>IF(A157&lt;&gt;"",IFERROR(VLOOKUP(A157,Agenda!A:N,14,0),0),"")</f>
        <v/>
      </c>
      <c r="R157" s="28">
        <f>IF(A157&lt;&gt;"",Q157-P157,"")</f>
        <v/>
      </c>
      <c r="S157" s="84">
        <f>IF(AND(A157&lt;&gt;"",Q157&lt;&gt;0),R157/Q157*100,"")</f>
        <v/>
      </c>
      <c r="T157" s="73" t="n"/>
    </row>
    <row r="158" ht="18" customHeight="1">
      <c r="A158" s="54" t="n"/>
      <c r="B158" s="58">
        <f>IF(A158&lt;&gt;"",IFERROR(VLOOKUP(A158,Agenda!A:E,5,0),"—"),"")</f>
        <v/>
      </c>
      <c r="C158" s="59">
        <f>IF(A158&lt;&gt;"",IFERROR(VLOOKUP(A158,Agenda!A:K,11,0),"—"),"")</f>
        <v/>
      </c>
      <c r="D158" s="79" t="n"/>
      <c r="E158" s="80">
        <f>IF(A158&lt;&gt;"",IF(C158="Pick Up",7,IF(C158="1.5 Cerrada",9,IF(C158="2.5",10,IF(C158="3.5",12,0)))),"")</f>
        <v/>
      </c>
      <c r="F158" s="28">
        <f>IF(AND(D158&lt;&gt;"",E158&lt;&gt;""),D158*E158,"")</f>
        <v/>
      </c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81">
        <f>IF(A158&lt;&gt;"",IFERROR(F158+G158+H158+I158+J158+K158+L158+M158+N158+O158,0),"")</f>
        <v/>
      </c>
      <c r="Q158" s="62">
        <f>IF(A158&lt;&gt;"",IFERROR(VLOOKUP(A158,Agenda!A:N,14,0),0),"")</f>
        <v/>
      </c>
      <c r="R158" s="28">
        <f>IF(A158&lt;&gt;"",Q158-P158,"")</f>
        <v/>
      </c>
      <c r="S158" s="82">
        <f>IF(AND(A158&lt;&gt;"",Q158&lt;&gt;0),R158/Q158*100,"")</f>
        <v/>
      </c>
      <c r="T158" s="61" t="n"/>
    </row>
    <row r="159" ht="18" customHeight="1">
      <c r="A159" s="54" t="n"/>
      <c r="B159" s="70">
        <f>IF(A159&lt;&gt;"",IFERROR(VLOOKUP(A159,Agenda!A:E,5,0),"—"),"")</f>
        <v/>
      </c>
      <c r="C159" s="71">
        <f>IF(A159&lt;&gt;"",IFERROR(VLOOKUP(A159,Agenda!A:K,11,0),"—"),"")</f>
        <v/>
      </c>
      <c r="D159" s="83" t="n"/>
      <c r="E159" s="80">
        <f>IF(A159&lt;&gt;"",IF(C159="Pick Up",7,IF(C159="1.5 Cerrada",9,IF(C159="2.5",10,IF(C159="3.5",12,0)))),"")</f>
        <v/>
      </c>
      <c r="F159" s="28">
        <f>IF(AND(D159&lt;&gt;"",E159&lt;&gt;""),D159*E159,"")</f>
        <v/>
      </c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81">
        <f>IF(A159&lt;&gt;"",IFERROR(F159+G159+H159+I159+J159+K159+L159+M159+N159+O159,0),"")</f>
        <v/>
      </c>
      <c r="Q159" s="74">
        <f>IF(A159&lt;&gt;"",IFERROR(VLOOKUP(A159,Agenda!A:N,14,0),0),"")</f>
        <v/>
      </c>
      <c r="R159" s="28">
        <f>IF(A159&lt;&gt;"",Q159-P159,"")</f>
        <v/>
      </c>
      <c r="S159" s="84">
        <f>IF(AND(A159&lt;&gt;"",Q159&lt;&gt;0),R159/Q159*100,"")</f>
        <v/>
      </c>
      <c r="T159" s="73" t="n"/>
    </row>
    <row r="160" ht="18" customHeight="1">
      <c r="A160" s="54" t="n"/>
      <c r="B160" s="58">
        <f>IF(A160&lt;&gt;"",IFERROR(VLOOKUP(A160,Agenda!A:E,5,0),"—"),"")</f>
        <v/>
      </c>
      <c r="C160" s="59">
        <f>IF(A160&lt;&gt;"",IFERROR(VLOOKUP(A160,Agenda!A:K,11,0),"—"),"")</f>
        <v/>
      </c>
      <c r="D160" s="79" t="n"/>
      <c r="E160" s="80">
        <f>IF(A160&lt;&gt;"",IF(C160="Pick Up",7,IF(C160="1.5 Cerrada",9,IF(C160="2.5",10,IF(C160="3.5",12,0)))),"")</f>
        <v/>
      </c>
      <c r="F160" s="28">
        <f>IF(AND(D160&lt;&gt;"",E160&lt;&gt;""),D160*E160,"")</f>
        <v/>
      </c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81">
        <f>IF(A160&lt;&gt;"",IFERROR(F160+G160+H160+I160+J160+K160+L160+M160+N160+O160,0),"")</f>
        <v/>
      </c>
      <c r="Q160" s="62">
        <f>IF(A160&lt;&gt;"",IFERROR(VLOOKUP(A160,Agenda!A:N,14,0),0),"")</f>
        <v/>
      </c>
      <c r="R160" s="28">
        <f>IF(A160&lt;&gt;"",Q160-P160,"")</f>
        <v/>
      </c>
      <c r="S160" s="82">
        <f>IF(AND(A160&lt;&gt;"",Q160&lt;&gt;0),R160/Q160*100,"")</f>
        <v/>
      </c>
      <c r="T160" s="61" t="n"/>
    </row>
    <row r="161" ht="18" customHeight="1">
      <c r="A161" s="54" t="n"/>
      <c r="B161" s="70">
        <f>IF(A161&lt;&gt;"",IFERROR(VLOOKUP(A161,Agenda!A:E,5,0),"—"),"")</f>
        <v/>
      </c>
      <c r="C161" s="71">
        <f>IF(A161&lt;&gt;"",IFERROR(VLOOKUP(A161,Agenda!A:K,11,0),"—"),"")</f>
        <v/>
      </c>
      <c r="D161" s="83" t="n"/>
      <c r="E161" s="80">
        <f>IF(A161&lt;&gt;"",IF(C161="Pick Up",7,IF(C161="1.5 Cerrada",9,IF(C161="2.5",10,IF(C161="3.5",12,0)))),"")</f>
        <v/>
      </c>
      <c r="F161" s="28">
        <f>IF(AND(D161&lt;&gt;"",E161&lt;&gt;""),D161*E161,"")</f>
        <v/>
      </c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81">
        <f>IF(A161&lt;&gt;"",IFERROR(F161+G161+H161+I161+J161+K161+L161+M161+N161+O161,0),"")</f>
        <v/>
      </c>
      <c r="Q161" s="74">
        <f>IF(A161&lt;&gt;"",IFERROR(VLOOKUP(A161,Agenda!A:N,14,0),0),"")</f>
        <v/>
      </c>
      <c r="R161" s="28">
        <f>IF(A161&lt;&gt;"",Q161-P161,"")</f>
        <v/>
      </c>
      <c r="S161" s="84">
        <f>IF(AND(A161&lt;&gt;"",Q161&lt;&gt;0),R161/Q161*100,"")</f>
        <v/>
      </c>
      <c r="T161" s="73" t="n"/>
    </row>
    <row r="162" ht="18" customHeight="1">
      <c r="A162" s="54" t="n"/>
      <c r="B162" s="58">
        <f>IF(A162&lt;&gt;"",IFERROR(VLOOKUP(A162,Agenda!A:E,5,0),"—"),"")</f>
        <v/>
      </c>
      <c r="C162" s="59">
        <f>IF(A162&lt;&gt;"",IFERROR(VLOOKUP(A162,Agenda!A:K,11,0),"—"),"")</f>
        <v/>
      </c>
      <c r="D162" s="79" t="n"/>
      <c r="E162" s="80">
        <f>IF(A162&lt;&gt;"",IF(C162="Pick Up",7,IF(C162="1.5 Cerrada",9,IF(C162="2.5",10,IF(C162="3.5",12,0)))),"")</f>
        <v/>
      </c>
      <c r="F162" s="28">
        <f>IF(AND(D162&lt;&gt;"",E162&lt;&gt;""),D162*E162,"")</f>
        <v/>
      </c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81">
        <f>IF(A162&lt;&gt;"",IFERROR(F162+G162+H162+I162+J162+K162+L162+M162+N162+O162,0),"")</f>
        <v/>
      </c>
      <c r="Q162" s="62">
        <f>IF(A162&lt;&gt;"",IFERROR(VLOOKUP(A162,Agenda!A:N,14,0),0),"")</f>
        <v/>
      </c>
      <c r="R162" s="28">
        <f>IF(A162&lt;&gt;"",Q162-P162,"")</f>
        <v/>
      </c>
      <c r="S162" s="82">
        <f>IF(AND(A162&lt;&gt;"",Q162&lt;&gt;0),R162/Q162*100,"")</f>
        <v/>
      </c>
      <c r="T162" s="61" t="n"/>
    </row>
    <row r="163" ht="18" customHeight="1">
      <c r="A163" s="54" t="n"/>
      <c r="B163" s="70">
        <f>IF(A163&lt;&gt;"",IFERROR(VLOOKUP(A163,Agenda!A:E,5,0),"—"),"")</f>
        <v/>
      </c>
      <c r="C163" s="71">
        <f>IF(A163&lt;&gt;"",IFERROR(VLOOKUP(A163,Agenda!A:K,11,0),"—"),"")</f>
        <v/>
      </c>
      <c r="D163" s="83" t="n"/>
      <c r="E163" s="80">
        <f>IF(A163&lt;&gt;"",IF(C163="Pick Up",7,IF(C163="1.5 Cerrada",9,IF(C163="2.5",10,IF(C163="3.5",12,0)))),"")</f>
        <v/>
      </c>
      <c r="F163" s="28">
        <f>IF(AND(D163&lt;&gt;"",E163&lt;&gt;""),D163*E163,"")</f>
        <v/>
      </c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81">
        <f>IF(A163&lt;&gt;"",IFERROR(F163+G163+H163+I163+J163+K163+L163+M163+N163+O163,0),"")</f>
        <v/>
      </c>
      <c r="Q163" s="74">
        <f>IF(A163&lt;&gt;"",IFERROR(VLOOKUP(A163,Agenda!A:N,14,0),0),"")</f>
        <v/>
      </c>
      <c r="R163" s="28">
        <f>IF(A163&lt;&gt;"",Q163-P163,"")</f>
        <v/>
      </c>
      <c r="S163" s="84">
        <f>IF(AND(A163&lt;&gt;"",Q163&lt;&gt;0),R163/Q163*100,"")</f>
        <v/>
      </c>
      <c r="T163" s="73" t="n"/>
    </row>
    <row r="164" ht="18" customHeight="1">
      <c r="A164" s="54" t="n"/>
      <c r="B164" s="58">
        <f>IF(A164&lt;&gt;"",IFERROR(VLOOKUP(A164,Agenda!A:E,5,0),"—"),"")</f>
        <v/>
      </c>
      <c r="C164" s="59">
        <f>IF(A164&lt;&gt;"",IFERROR(VLOOKUP(A164,Agenda!A:K,11,0),"—"),"")</f>
        <v/>
      </c>
      <c r="D164" s="79" t="n"/>
      <c r="E164" s="80">
        <f>IF(A164&lt;&gt;"",IF(C164="Pick Up",7,IF(C164="1.5 Cerrada",9,IF(C164="2.5",10,IF(C164="3.5",12,0)))),"")</f>
        <v/>
      </c>
      <c r="F164" s="28">
        <f>IF(AND(D164&lt;&gt;"",E164&lt;&gt;""),D164*E164,"")</f>
        <v/>
      </c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81">
        <f>IF(A164&lt;&gt;"",IFERROR(F164+G164+H164+I164+J164+K164+L164+M164+N164+O164,0),"")</f>
        <v/>
      </c>
      <c r="Q164" s="62">
        <f>IF(A164&lt;&gt;"",IFERROR(VLOOKUP(A164,Agenda!A:N,14,0),0),"")</f>
        <v/>
      </c>
      <c r="R164" s="28">
        <f>IF(A164&lt;&gt;"",Q164-P164,"")</f>
        <v/>
      </c>
      <c r="S164" s="82">
        <f>IF(AND(A164&lt;&gt;"",Q164&lt;&gt;0),R164/Q164*100,"")</f>
        <v/>
      </c>
      <c r="T164" s="61" t="n"/>
    </row>
    <row r="165" ht="18" customHeight="1">
      <c r="A165" s="54" t="n"/>
      <c r="B165" s="70">
        <f>IF(A165&lt;&gt;"",IFERROR(VLOOKUP(A165,Agenda!A:E,5,0),"—"),"")</f>
        <v/>
      </c>
      <c r="C165" s="71">
        <f>IF(A165&lt;&gt;"",IFERROR(VLOOKUP(A165,Agenda!A:K,11,0),"—"),"")</f>
        <v/>
      </c>
      <c r="D165" s="83" t="n"/>
      <c r="E165" s="80">
        <f>IF(A165&lt;&gt;"",IF(C165="Pick Up",7,IF(C165="1.5 Cerrada",9,IF(C165="2.5",10,IF(C165="3.5",12,0)))),"")</f>
        <v/>
      </c>
      <c r="F165" s="28">
        <f>IF(AND(D165&lt;&gt;"",E165&lt;&gt;""),D165*E165,"")</f>
        <v/>
      </c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81">
        <f>IF(A165&lt;&gt;"",IFERROR(F165+G165+H165+I165+J165+K165+L165+M165+N165+O165,0),"")</f>
        <v/>
      </c>
      <c r="Q165" s="74">
        <f>IF(A165&lt;&gt;"",IFERROR(VLOOKUP(A165,Agenda!A:N,14,0),0),"")</f>
        <v/>
      </c>
      <c r="R165" s="28">
        <f>IF(A165&lt;&gt;"",Q165-P165,"")</f>
        <v/>
      </c>
      <c r="S165" s="84">
        <f>IF(AND(A165&lt;&gt;"",Q165&lt;&gt;0),R165/Q165*100,"")</f>
        <v/>
      </c>
      <c r="T165" s="73" t="n"/>
    </row>
    <row r="166" ht="18" customHeight="1">
      <c r="A166" s="54" t="n"/>
      <c r="B166" s="58">
        <f>IF(A166&lt;&gt;"",IFERROR(VLOOKUP(A166,Agenda!A:E,5,0),"—"),"")</f>
        <v/>
      </c>
      <c r="C166" s="59">
        <f>IF(A166&lt;&gt;"",IFERROR(VLOOKUP(A166,Agenda!A:K,11,0),"—"),"")</f>
        <v/>
      </c>
      <c r="D166" s="79" t="n"/>
      <c r="E166" s="80">
        <f>IF(A166&lt;&gt;"",IF(C166="Pick Up",7,IF(C166="1.5 Cerrada",9,IF(C166="2.5",10,IF(C166="3.5",12,0)))),"")</f>
        <v/>
      </c>
      <c r="F166" s="28">
        <f>IF(AND(D166&lt;&gt;"",E166&lt;&gt;""),D166*E166,"")</f>
        <v/>
      </c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81">
        <f>IF(A166&lt;&gt;"",IFERROR(F166+G166+H166+I166+J166+K166+L166+M166+N166+O166,0),"")</f>
        <v/>
      </c>
      <c r="Q166" s="62">
        <f>IF(A166&lt;&gt;"",IFERROR(VLOOKUP(A166,Agenda!A:N,14,0),0),"")</f>
        <v/>
      </c>
      <c r="R166" s="28">
        <f>IF(A166&lt;&gt;"",Q166-P166,"")</f>
        <v/>
      </c>
      <c r="S166" s="82">
        <f>IF(AND(A166&lt;&gt;"",Q166&lt;&gt;0),R166/Q166*100,"")</f>
        <v/>
      </c>
      <c r="T166" s="61" t="n"/>
    </row>
    <row r="167" ht="18" customHeight="1">
      <c r="A167" s="54" t="n"/>
      <c r="B167" s="70">
        <f>IF(A167&lt;&gt;"",IFERROR(VLOOKUP(A167,Agenda!A:E,5,0),"—"),"")</f>
        <v/>
      </c>
      <c r="C167" s="71">
        <f>IF(A167&lt;&gt;"",IFERROR(VLOOKUP(A167,Agenda!A:K,11,0),"—"),"")</f>
        <v/>
      </c>
      <c r="D167" s="83" t="n"/>
      <c r="E167" s="80">
        <f>IF(A167&lt;&gt;"",IF(C167="Pick Up",7,IF(C167="1.5 Cerrada",9,IF(C167="2.5",10,IF(C167="3.5",12,0)))),"")</f>
        <v/>
      </c>
      <c r="F167" s="28">
        <f>IF(AND(D167&lt;&gt;"",E167&lt;&gt;""),D167*E167,"")</f>
        <v/>
      </c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81">
        <f>IF(A167&lt;&gt;"",IFERROR(F167+G167+H167+I167+J167+K167+L167+M167+N167+O167,0),"")</f>
        <v/>
      </c>
      <c r="Q167" s="74">
        <f>IF(A167&lt;&gt;"",IFERROR(VLOOKUP(A167,Agenda!A:N,14,0),0),"")</f>
        <v/>
      </c>
      <c r="R167" s="28">
        <f>IF(A167&lt;&gt;"",Q167-P167,"")</f>
        <v/>
      </c>
      <c r="S167" s="84">
        <f>IF(AND(A167&lt;&gt;"",Q167&lt;&gt;0),R167/Q167*100,"")</f>
        <v/>
      </c>
      <c r="T167" s="73" t="n"/>
    </row>
    <row r="168" ht="18" customHeight="1">
      <c r="A168" s="54" t="n"/>
      <c r="B168" s="58">
        <f>IF(A168&lt;&gt;"",IFERROR(VLOOKUP(A168,Agenda!A:E,5,0),"—"),"")</f>
        <v/>
      </c>
      <c r="C168" s="59">
        <f>IF(A168&lt;&gt;"",IFERROR(VLOOKUP(A168,Agenda!A:K,11,0),"—"),"")</f>
        <v/>
      </c>
      <c r="D168" s="79" t="n"/>
      <c r="E168" s="80">
        <f>IF(A168&lt;&gt;"",IF(C168="Pick Up",7,IF(C168="1.5 Cerrada",9,IF(C168="2.5",10,IF(C168="3.5",12,0)))),"")</f>
        <v/>
      </c>
      <c r="F168" s="28">
        <f>IF(AND(D168&lt;&gt;"",E168&lt;&gt;""),D168*E168,"")</f>
        <v/>
      </c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81">
        <f>IF(A168&lt;&gt;"",IFERROR(F168+G168+H168+I168+J168+K168+L168+M168+N168+O168,0),"")</f>
        <v/>
      </c>
      <c r="Q168" s="62">
        <f>IF(A168&lt;&gt;"",IFERROR(VLOOKUP(A168,Agenda!A:N,14,0),0),"")</f>
        <v/>
      </c>
      <c r="R168" s="28">
        <f>IF(A168&lt;&gt;"",Q168-P168,"")</f>
        <v/>
      </c>
      <c r="S168" s="82">
        <f>IF(AND(A168&lt;&gt;"",Q168&lt;&gt;0),R168/Q168*100,"")</f>
        <v/>
      </c>
      <c r="T168" s="61" t="n"/>
    </row>
    <row r="169" ht="18" customHeight="1">
      <c r="A169" s="54" t="n"/>
      <c r="B169" s="70">
        <f>IF(A169&lt;&gt;"",IFERROR(VLOOKUP(A169,Agenda!A:E,5,0),"—"),"")</f>
        <v/>
      </c>
      <c r="C169" s="71">
        <f>IF(A169&lt;&gt;"",IFERROR(VLOOKUP(A169,Agenda!A:K,11,0),"—"),"")</f>
        <v/>
      </c>
      <c r="D169" s="83" t="n"/>
      <c r="E169" s="80">
        <f>IF(A169&lt;&gt;"",IF(C169="Pick Up",7,IF(C169="1.5 Cerrada",9,IF(C169="2.5",10,IF(C169="3.5",12,0)))),"")</f>
        <v/>
      </c>
      <c r="F169" s="28">
        <f>IF(AND(D169&lt;&gt;"",E169&lt;&gt;""),D169*E169,"")</f>
        <v/>
      </c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81">
        <f>IF(A169&lt;&gt;"",IFERROR(F169+G169+H169+I169+J169+K169+L169+M169+N169+O169,0),"")</f>
        <v/>
      </c>
      <c r="Q169" s="74">
        <f>IF(A169&lt;&gt;"",IFERROR(VLOOKUP(A169,Agenda!A:N,14,0),0),"")</f>
        <v/>
      </c>
      <c r="R169" s="28">
        <f>IF(A169&lt;&gt;"",Q169-P169,"")</f>
        <v/>
      </c>
      <c r="S169" s="84">
        <f>IF(AND(A169&lt;&gt;"",Q169&lt;&gt;0),R169/Q169*100,"")</f>
        <v/>
      </c>
      <c r="T169" s="73" t="n"/>
    </row>
    <row r="170" ht="18" customHeight="1">
      <c r="A170" s="54" t="n"/>
      <c r="B170" s="58">
        <f>IF(A170&lt;&gt;"",IFERROR(VLOOKUP(A170,Agenda!A:E,5,0),"—"),"")</f>
        <v/>
      </c>
      <c r="C170" s="59">
        <f>IF(A170&lt;&gt;"",IFERROR(VLOOKUP(A170,Agenda!A:K,11,0),"—"),"")</f>
        <v/>
      </c>
      <c r="D170" s="79" t="n"/>
      <c r="E170" s="80">
        <f>IF(A170&lt;&gt;"",IF(C170="Pick Up",7,IF(C170="1.5 Cerrada",9,IF(C170="2.5",10,IF(C170="3.5",12,0)))),"")</f>
        <v/>
      </c>
      <c r="F170" s="28">
        <f>IF(AND(D170&lt;&gt;"",E170&lt;&gt;""),D170*E170,"")</f>
        <v/>
      </c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81">
        <f>IF(A170&lt;&gt;"",IFERROR(F170+G170+H170+I170+J170+K170+L170+M170+N170+O170,0),"")</f>
        <v/>
      </c>
      <c r="Q170" s="62">
        <f>IF(A170&lt;&gt;"",IFERROR(VLOOKUP(A170,Agenda!A:N,14,0),0),"")</f>
        <v/>
      </c>
      <c r="R170" s="28">
        <f>IF(A170&lt;&gt;"",Q170-P170,"")</f>
        <v/>
      </c>
      <c r="S170" s="82">
        <f>IF(AND(A170&lt;&gt;"",Q170&lt;&gt;0),R170/Q170*100,"")</f>
        <v/>
      </c>
      <c r="T170" s="61" t="n"/>
    </row>
    <row r="171" ht="18" customHeight="1">
      <c r="A171" s="54" t="n"/>
      <c r="B171" s="70">
        <f>IF(A171&lt;&gt;"",IFERROR(VLOOKUP(A171,Agenda!A:E,5,0),"—"),"")</f>
        <v/>
      </c>
      <c r="C171" s="71">
        <f>IF(A171&lt;&gt;"",IFERROR(VLOOKUP(A171,Agenda!A:K,11,0),"—"),"")</f>
        <v/>
      </c>
      <c r="D171" s="83" t="n"/>
      <c r="E171" s="80">
        <f>IF(A171&lt;&gt;"",IF(C171="Pick Up",7,IF(C171="1.5 Cerrada",9,IF(C171="2.5",10,IF(C171="3.5",12,0)))),"")</f>
        <v/>
      </c>
      <c r="F171" s="28">
        <f>IF(AND(D171&lt;&gt;"",E171&lt;&gt;""),D171*E171,"")</f>
        <v/>
      </c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81">
        <f>IF(A171&lt;&gt;"",IFERROR(F171+G171+H171+I171+J171+K171+L171+M171+N171+O171,0),"")</f>
        <v/>
      </c>
      <c r="Q171" s="74">
        <f>IF(A171&lt;&gt;"",IFERROR(VLOOKUP(A171,Agenda!A:N,14,0),0),"")</f>
        <v/>
      </c>
      <c r="R171" s="28">
        <f>IF(A171&lt;&gt;"",Q171-P171,"")</f>
        <v/>
      </c>
      <c r="S171" s="84">
        <f>IF(AND(A171&lt;&gt;"",Q171&lt;&gt;0),R171/Q171*100,"")</f>
        <v/>
      </c>
      <c r="T171" s="73" t="n"/>
    </row>
    <row r="172" ht="18" customHeight="1">
      <c r="A172" s="54" t="n"/>
      <c r="B172" s="58">
        <f>IF(A172&lt;&gt;"",IFERROR(VLOOKUP(A172,Agenda!A:E,5,0),"—"),"")</f>
        <v/>
      </c>
      <c r="C172" s="59">
        <f>IF(A172&lt;&gt;"",IFERROR(VLOOKUP(A172,Agenda!A:K,11,0),"—"),"")</f>
        <v/>
      </c>
      <c r="D172" s="79" t="n"/>
      <c r="E172" s="80">
        <f>IF(A172&lt;&gt;"",IF(C172="Pick Up",7,IF(C172="1.5 Cerrada",9,IF(C172="2.5",10,IF(C172="3.5",12,0)))),"")</f>
        <v/>
      </c>
      <c r="F172" s="28">
        <f>IF(AND(D172&lt;&gt;"",E172&lt;&gt;""),D172*E172,"")</f>
        <v/>
      </c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81">
        <f>IF(A172&lt;&gt;"",IFERROR(F172+G172+H172+I172+J172+K172+L172+M172+N172+O172,0),"")</f>
        <v/>
      </c>
      <c r="Q172" s="62">
        <f>IF(A172&lt;&gt;"",IFERROR(VLOOKUP(A172,Agenda!A:N,14,0),0),"")</f>
        <v/>
      </c>
      <c r="R172" s="28">
        <f>IF(A172&lt;&gt;"",Q172-P172,"")</f>
        <v/>
      </c>
      <c r="S172" s="82">
        <f>IF(AND(A172&lt;&gt;"",Q172&lt;&gt;0),R172/Q172*100,"")</f>
        <v/>
      </c>
      <c r="T172" s="61" t="n"/>
    </row>
    <row r="173" ht="18" customHeight="1">
      <c r="A173" s="54" t="n"/>
      <c r="B173" s="70">
        <f>IF(A173&lt;&gt;"",IFERROR(VLOOKUP(A173,Agenda!A:E,5,0),"—"),"")</f>
        <v/>
      </c>
      <c r="C173" s="71">
        <f>IF(A173&lt;&gt;"",IFERROR(VLOOKUP(A173,Agenda!A:K,11,0),"—"),"")</f>
        <v/>
      </c>
      <c r="D173" s="83" t="n"/>
      <c r="E173" s="80">
        <f>IF(A173&lt;&gt;"",IF(C173="Pick Up",7,IF(C173="1.5 Cerrada",9,IF(C173="2.5",10,IF(C173="3.5",12,0)))),"")</f>
        <v/>
      </c>
      <c r="F173" s="28">
        <f>IF(AND(D173&lt;&gt;"",E173&lt;&gt;""),D173*E173,"")</f>
        <v/>
      </c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81">
        <f>IF(A173&lt;&gt;"",IFERROR(F173+G173+H173+I173+J173+K173+L173+M173+N173+O173,0),"")</f>
        <v/>
      </c>
      <c r="Q173" s="74">
        <f>IF(A173&lt;&gt;"",IFERROR(VLOOKUP(A173,Agenda!A:N,14,0),0),"")</f>
        <v/>
      </c>
      <c r="R173" s="28">
        <f>IF(A173&lt;&gt;"",Q173-P173,"")</f>
        <v/>
      </c>
      <c r="S173" s="84">
        <f>IF(AND(A173&lt;&gt;"",Q173&lt;&gt;0),R173/Q173*100,"")</f>
        <v/>
      </c>
      <c r="T173" s="73" t="n"/>
    </row>
    <row r="174" ht="18" customHeight="1">
      <c r="A174" s="54" t="n"/>
      <c r="B174" s="58">
        <f>IF(A174&lt;&gt;"",IFERROR(VLOOKUP(A174,Agenda!A:E,5,0),"—"),"")</f>
        <v/>
      </c>
      <c r="C174" s="59">
        <f>IF(A174&lt;&gt;"",IFERROR(VLOOKUP(A174,Agenda!A:K,11,0),"—"),"")</f>
        <v/>
      </c>
      <c r="D174" s="79" t="n"/>
      <c r="E174" s="80">
        <f>IF(A174&lt;&gt;"",IF(C174="Pick Up",7,IF(C174="1.5 Cerrada",9,IF(C174="2.5",10,IF(C174="3.5",12,0)))),"")</f>
        <v/>
      </c>
      <c r="F174" s="28">
        <f>IF(AND(D174&lt;&gt;"",E174&lt;&gt;""),D174*E174,"")</f>
        <v/>
      </c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81">
        <f>IF(A174&lt;&gt;"",IFERROR(F174+G174+H174+I174+J174+K174+L174+M174+N174+O174,0),"")</f>
        <v/>
      </c>
      <c r="Q174" s="62">
        <f>IF(A174&lt;&gt;"",IFERROR(VLOOKUP(A174,Agenda!A:N,14,0),0),"")</f>
        <v/>
      </c>
      <c r="R174" s="28">
        <f>IF(A174&lt;&gt;"",Q174-P174,"")</f>
        <v/>
      </c>
      <c r="S174" s="82">
        <f>IF(AND(A174&lt;&gt;"",Q174&lt;&gt;0),R174/Q174*100,"")</f>
        <v/>
      </c>
      <c r="T174" s="61" t="n"/>
    </row>
    <row r="175" ht="18" customHeight="1">
      <c r="A175" s="54" t="n"/>
      <c r="B175" s="70">
        <f>IF(A175&lt;&gt;"",IFERROR(VLOOKUP(A175,Agenda!A:E,5,0),"—"),"")</f>
        <v/>
      </c>
      <c r="C175" s="71">
        <f>IF(A175&lt;&gt;"",IFERROR(VLOOKUP(A175,Agenda!A:K,11,0),"—"),"")</f>
        <v/>
      </c>
      <c r="D175" s="83" t="n"/>
      <c r="E175" s="80">
        <f>IF(A175&lt;&gt;"",IF(C175="Pick Up",7,IF(C175="1.5 Cerrada",9,IF(C175="2.5",10,IF(C175="3.5",12,0)))),"")</f>
        <v/>
      </c>
      <c r="F175" s="28">
        <f>IF(AND(D175&lt;&gt;"",E175&lt;&gt;""),D175*E175,"")</f>
        <v/>
      </c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81">
        <f>IF(A175&lt;&gt;"",IFERROR(F175+G175+H175+I175+J175+K175+L175+M175+N175+O175,0),"")</f>
        <v/>
      </c>
      <c r="Q175" s="74">
        <f>IF(A175&lt;&gt;"",IFERROR(VLOOKUP(A175,Agenda!A:N,14,0),0),"")</f>
        <v/>
      </c>
      <c r="R175" s="28">
        <f>IF(A175&lt;&gt;"",Q175-P175,"")</f>
        <v/>
      </c>
      <c r="S175" s="84">
        <f>IF(AND(A175&lt;&gt;"",Q175&lt;&gt;0),R175/Q175*100,"")</f>
        <v/>
      </c>
      <c r="T175" s="73" t="n"/>
    </row>
    <row r="176" ht="18" customHeight="1">
      <c r="A176" s="54" t="n"/>
      <c r="B176" s="58">
        <f>IF(A176&lt;&gt;"",IFERROR(VLOOKUP(A176,Agenda!A:E,5,0),"—"),"")</f>
        <v/>
      </c>
      <c r="C176" s="59">
        <f>IF(A176&lt;&gt;"",IFERROR(VLOOKUP(A176,Agenda!A:K,11,0),"—"),"")</f>
        <v/>
      </c>
      <c r="D176" s="79" t="n"/>
      <c r="E176" s="80">
        <f>IF(A176&lt;&gt;"",IF(C176="Pick Up",7,IF(C176="1.5 Cerrada",9,IF(C176="2.5",10,IF(C176="3.5",12,0)))),"")</f>
        <v/>
      </c>
      <c r="F176" s="28">
        <f>IF(AND(D176&lt;&gt;"",E176&lt;&gt;""),D176*E176,"")</f>
        <v/>
      </c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81">
        <f>IF(A176&lt;&gt;"",IFERROR(F176+G176+H176+I176+J176+K176+L176+M176+N176+O176,0),"")</f>
        <v/>
      </c>
      <c r="Q176" s="62">
        <f>IF(A176&lt;&gt;"",IFERROR(VLOOKUP(A176,Agenda!A:N,14,0),0),"")</f>
        <v/>
      </c>
      <c r="R176" s="28">
        <f>IF(A176&lt;&gt;"",Q176-P176,"")</f>
        <v/>
      </c>
      <c r="S176" s="82">
        <f>IF(AND(A176&lt;&gt;"",Q176&lt;&gt;0),R176/Q176*100,"")</f>
        <v/>
      </c>
      <c r="T176" s="61" t="n"/>
    </row>
    <row r="177" ht="18" customHeight="1">
      <c r="A177" s="54" t="n"/>
      <c r="B177" s="70">
        <f>IF(A177&lt;&gt;"",IFERROR(VLOOKUP(A177,Agenda!A:E,5,0),"—"),"")</f>
        <v/>
      </c>
      <c r="C177" s="71">
        <f>IF(A177&lt;&gt;"",IFERROR(VLOOKUP(A177,Agenda!A:K,11,0),"—"),"")</f>
        <v/>
      </c>
      <c r="D177" s="83" t="n"/>
      <c r="E177" s="80">
        <f>IF(A177&lt;&gt;"",IF(C177="Pick Up",7,IF(C177="1.5 Cerrada",9,IF(C177="2.5",10,IF(C177="3.5",12,0)))),"")</f>
        <v/>
      </c>
      <c r="F177" s="28">
        <f>IF(AND(D177&lt;&gt;"",E177&lt;&gt;""),D177*E177,"")</f>
        <v/>
      </c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81">
        <f>IF(A177&lt;&gt;"",IFERROR(F177+G177+H177+I177+J177+K177+L177+M177+N177+O177,0),"")</f>
        <v/>
      </c>
      <c r="Q177" s="74">
        <f>IF(A177&lt;&gt;"",IFERROR(VLOOKUP(A177,Agenda!A:N,14,0),0),"")</f>
        <v/>
      </c>
      <c r="R177" s="28">
        <f>IF(A177&lt;&gt;"",Q177-P177,"")</f>
        <v/>
      </c>
      <c r="S177" s="84">
        <f>IF(AND(A177&lt;&gt;"",Q177&lt;&gt;0),R177/Q177*100,"")</f>
        <v/>
      </c>
      <c r="T177" s="73" t="n"/>
    </row>
    <row r="178" ht="18" customHeight="1">
      <c r="A178" s="54" t="n"/>
      <c r="B178" s="58">
        <f>IF(A178&lt;&gt;"",IFERROR(VLOOKUP(A178,Agenda!A:E,5,0),"—"),"")</f>
        <v/>
      </c>
      <c r="C178" s="59">
        <f>IF(A178&lt;&gt;"",IFERROR(VLOOKUP(A178,Agenda!A:K,11,0),"—"),"")</f>
        <v/>
      </c>
      <c r="D178" s="79" t="n"/>
      <c r="E178" s="80">
        <f>IF(A178&lt;&gt;"",IF(C178="Pick Up",7,IF(C178="1.5 Cerrada",9,IF(C178="2.5",10,IF(C178="3.5",12,0)))),"")</f>
        <v/>
      </c>
      <c r="F178" s="28">
        <f>IF(AND(D178&lt;&gt;"",E178&lt;&gt;""),D178*E178,"")</f>
        <v/>
      </c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81">
        <f>IF(A178&lt;&gt;"",IFERROR(F178+G178+H178+I178+J178+K178+L178+M178+N178+O178,0),"")</f>
        <v/>
      </c>
      <c r="Q178" s="62">
        <f>IF(A178&lt;&gt;"",IFERROR(VLOOKUP(A178,Agenda!A:N,14,0),0),"")</f>
        <v/>
      </c>
      <c r="R178" s="28">
        <f>IF(A178&lt;&gt;"",Q178-P178,"")</f>
        <v/>
      </c>
      <c r="S178" s="82">
        <f>IF(AND(A178&lt;&gt;"",Q178&lt;&gt;0),R178/Q178*100,"")</f>
        <v/>
      </c>
      <c r="T178" s="61" t="n"/>
    </row>
    <row r="179" ht="18" customHeight="1">
      <c r="A179" s="54" t="n"/>
      <c r="B179" s="70">
        <f>IF(A179&lt;&gt;"",IFERROR(VLOOKUP(A179,Agenda!A:E,5,0),"—"),"")</f>
        <v/>
      </c>
      <c r="C179" s="71">
        <f>IF(A179&lt;&gt;"",IFERROR(VLOOKUP(A179,Agenda!A:K,11,0),"—"),"")</f>
        <v/>
      </c>
      <c r="D179" s="83" t="n"/>
      <c r="E179" s="80">
        <f>IF(A179&lt;&gt;"",IF(C179="Pick Up",7,IF(C179="1.5 Cerrada",9,IF(C179="2.5",10,IF(C179="3.5",12,0)))),"")</f>
        <v/>
      </c>
      <c r="F179" s="28">
        <f>IF(AND(D179&lt;&gt;"",E179&lt;&gt;""),D179*E179,"")</f>
        <v/>
      </c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81">
        <f>IF(A179&lt;&gt;"",IFERROR(F179+G179+H179+I179+J179+K179+L179+M179+N179+O179,0),"")</f>
        <v/>
      </c>
      <c r="Q179" s="74">
        <f>IF(A179&lt;&gt;"",IFERROR(VLOOKUP(A179,Agenda!A:N,14,0),0),"")</f>
        <v/>
      </c>
      <c r="R179" s="28">
        <f>IF(A179&lt;&gt;"",Q179-P179,"")</f>
        <v/>
      </c>
      <c r="S179" s="84">
        <f>IF(AND(A179&lt;&gt;"",Q179&lt;&gt;0),R179/Q179*100,"")</f>
        <v/>
      </c>
      <c r="T179" s="73" t="n"/>
    </row>
    <row r="180" ht="18" customHeight="1">
      <c r="A180" s="54" t="n"/>
      <c r="B180" s="58">
        <f>IF(A180&lt;&gt;"",IFERROR(VLOOKUP(A180,Agenda!A:E,5,0),"—"),"")</f>
        <v/>
      </c>
      <c r="C180" s="59">
        <f>IF(A180&lt;&gt;"",IFERROR(VLOOKUP(A180,Agenda!A:K,11,0),"—"),"")</f>
        <v/>
      </c>
      <c r="D180" s="79" t="n"/>
      <c r="E180" s="80">
        <f>IF(A180&lt;&gt;"",IF(C180="Pick Up",7,IF(C180="1.5 Cerrada",9,IF(C180="2.5",10,IF(C180="3.5",12,0)))),"")</f>
        <v/>
      </c>
      <c r="F180" s="28">
        <f>IF(AND(D180&lt;&gt;"",E180&lt;&gt;""),D180*E180,"")</f>
        <v/>
      </c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81">
        <f>IF(A180&lt;&gt;"",IFERROR(F180+G180+H180+I180+J180+K180+L180+M180+N180+O180,0),"")</f>
        <v/>
      </c>
      <c r="Q180" s="62">
        <f>IF(A180&lt;&gt;"",IFERROR(VLOOKUP(A180,Agenda!A:N,14,0),0),"")</f>
        <v/>
      </c>
      <c r="R180" s="28">
        <f>IF(A180&lt;&gt;"",Q180-P180,"")</f>
        <v/>
      </c>
      <c r="S180" s="82">
        <f>IF(AND(A180&lt;&gt;"",Q180&lt;&gt;0),R180/Q180*100,"")</f>
        <v/>
      </c>
      <c r="T180" s="61" t="n"/>
    </row>
    <row r="181" ht="18" customHeight="1">
      <c r="A181" s="54" t="n"/>
      <c r="B181" s="70">
        <f>IF(A181&lt;&gt;"",IFERROR(VLOOKUP(A181,Agenda!A:E,5,0),"—"),"")</f>
        <v/>
      </c>
      <c r="C181" s="71">
        <f>IF(A181&lt;&gt;"",IFERROR(VLOOKUP(A181,Agenda!A:K,11,0),"—"),"")</f>
        <v/>
      </c>
      <c r="D181" s="83" t="n"/>
      <c r="E181" s="80">
        <f>IF(A181&lt;&gt;"",IF(C181="Pick Up",7,IF(C181="1.5 Cerrada",9,IF(C181="2.5",10,IF(C181="3.5",12,0)))),"")</f>
        <v/>
      </c>
      <c r="F181" s="28">
        <f>IF(AND(D181&lt;&gt;"",E181&lt;&gt;""),D181*E181,"")</f>
        <v/>
      </c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81">
        <f>IF(A181&lt;&gt;"",IFERROR(F181+G181+H181+I181+J181+K181+L181+M181+N181+O181,0),"")</f>
        <v/>
      </c>
      <c r="Q181" s="74">
        <f>IF(A181&lt;&gt;"",IFERROR(VLOOKUP(A181,Agenda!A:N,14,0),0),"")</f>
        <v/>
      </c>
      <c r="R181" s="28">
        <f>IF(A181&lt;&gt;"",Q181-P181,"")</f>
        <v/>
      </c>
      <c r="S181" s="84">
        <f>IF(AND(A181&lt;&gt;"",Q181&lt;&gt;0),R181/Q181*100,"")</f>
        <v/>
      </c>
      <c r="T181" s="73" t="n"/>
    </row>
    <row r="182" ht="18" customHeight="1">
      <c r="A182" s="54" t="n"/>
      <c r="B182" s="58">
        <f>IF(A182&lt;&gt;"",IFERROR(VLOOKUP(A182,Agenda!A:E,5,0),"—"),"")</f>
        <v/>
      </c>
      <c r="C182" s="59">
        <f>IF(A182&lt;&gt;"",IFERROR(VLOOKUP(A182,Agenda!A:K,11,0),"—"),"")</f>
        <v/>
      </c>
      <c r="D182" s="79" t="n"/>
      <c r="E182" s="80">
        <f>IF(A182&lt;&gt;"",IF(C182="Pick Up",7,IF(C182="1.5 Cerrada",9,IF(C182="2.5",10,IF(C182="3.5",12,0)))),"")</f>
        <v/>
      </c>
      <c r="F182" s="28">
        <f>IF(AND(D182&lt;&gt;"",E182&lt;&gt;""),D182*E182,"")</f>
        <v/>
      </c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81">
        <f>IF(A182&lt;&gt;"",IFERROR(F182+G182+H182+I182+J182+K182+L182+M182+N182+O182,0),"")</f>
        <v/>
      </c>
      <c r="Q182" s="62">
        <f>IF(A182&lt;&gt;"",IFERROR(VLOOKUP(A182,Agenda!A:N,14,0),0),"")</f>
        <v/>
      </c>
      <c r="R182" s="28">
        <f>IF(A182&lt;&gt;"",Q182-P182,"")</f>
        <v/>
      </c>
      <c r="S182" s="82">
        <f>IF(AND(A182&lt;&gt;"",Q182&lt;&gt;0),R182/Q182*100,"")</f>
        <v/>
      </c>
      <c r="T182" s="61" t="n"/>
    </row>
    <row r="183" ht="18" customHeight="1">
      <c r="A183" s="54" t="n"/>
      <c r="B183" s="70">
        <f>IF(A183&lt;&gt;"",IFERROR(VLOOKUP(A183,Agenda!A:E,5,0),"—"),"")</f>
        <v/>
      </c>
      <c r="C183" s="71">
        <f>IF(A183&lt;&gt;"",IFERROR(VLOOKUP(A183,Agenda!A:K,11,0),"—"),"")</f>
        <v/>
      </c>
      <c r="D183" s="83" t="n"/>
      <c r="E183" s="80">
        <f>IF(A183&lt;&gt;"",IF(C183="Pick Up",7,IF(C183="1.5 Cerrada",9,IF(C183="2.5",10,IF(C183="3.5",12,0)))),"")</f>
        <v/>
      </c>
      <c r="F183" s="28">
        <f>IF(AND(D183&lt;&gt;"",E183&lt;&gt;""),D183*E183,"")</f>
        <v/>
      </c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81">
        <f>IF(A183&lt;&gt;"",IFERROR(F183+G183+H183+I183+J183+K183+L183+M183+N183+O183,0),"")</f>
        <v/>
      </c>
      <c r="Q183" s="74">
        <f>IF(A183&lt;&gt;"",IFERROR(VLOOKUP(A183,Agenda!A:N,14,0),0),"")</f>
        <v/>
      </c>
      <c r="R183" s="28">
        <f>IF(A183&lt;&gt;"",Q183-P183,"")</f>
        <v/>
      </c>
      <c r="S183" s="84">
        <f>IF(AND(A183&lt;&gt;"",Q183&lt;&gt;0),R183/Q183*100,"")</f>
        <v/>
      </c>
      <c r="T183" s="73" t="n"/>
    </row>
    <row r="184" ht="18" customHeight="1">
      <c r="A184" s="54" t="n"/>
      <c r="B184" s="58">
        <f>IF(A184&lt;&gt;"",IFERROR(VLOOKUP(A184,Agenda!A:E,5,0),"—"),"")</f>
        <v/>
      </c>
      <c r="C184" s="59">
        <f>IF(A184&lt;&gt;"",IFERROR(VLOOKUP(A184,Agenda!A:K,11,0),"—"),"")</f>
        <v/>
      </c>
      <c r="D184" s="79" t="n"/>
      <c r="E184" s="80">
        <f>IF(A184&lt;&gt;"",IF(C184="Pick Up",7,IF(C184="1.5 Cerrada",9,IF(C184="2.5",10,IF(C184="3.5",12,0)))),"")</f>
        <v/>
      </c>
      <c r="F184" s="28">
        <f>IF(AND(D184&lt;&gt;"",E184&lt;&gt;""),D184*E184,"")</f>
        <v/>
      </c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81">
        <f>IF(A184&lt;&gt;"",IFERROR(F184+G184+H184+I184+J184+K184+L184+M184+N184+O184,0),"")</f>
        <v/>
      </c>
      <c r="Q184" s="62">
        <f>IF(A184&lt;&gt;"",IFERROR(VLOOKUP(A184,Agenda!A:N,14,0),0),"")</f>
        <v/>
      </c>
      <c r="R184" s="28">
        <f>IF(A184&lt;&gt;"",Q184-P184,"")</f>
        <v/>
      </c>
      <c r="S184" s="82">
        <f>IF(AND(A184&lt;&gt;"",Q184&lt;&gt;0),R184/Q184*100,"")</f>
        <v/>
      </c>
      <c r="T184" s="61" t="n"/>
    </row>
    <row r="185" ht="18" customHeight="1">
      <c r="A185" s="54" t="n"/>
      <c r="B185" s="70">
        <f>IF(A185&lt;&gt;"",IFERROR(VLOOKUP(A185,Agenda!A:E,5,0),"—"),"")</f>
        <v/>
      </c>
      <c r="C185" s="71">
        <f>IF(A185&lt;&gt;"",IFERROR(VLOOKUP(A185,Agenda!A:K,11,0),"—"),"")</f>
        <v/>
      </c>
      <c r="D185" s="83" t="n"/>
      <c r="E185" s="80">
        <f>IF(A185&lt;&gt;"",IF(C185="Pick Up",7,IF(C185="1.5 Cerrada",9,IF(C185="2.5",10,IF(C185="3.5",12,0)))),"")</f>
        <v/>
      </c>
      <c r="F185" s="28">
        <f>IF(AND(D185&lt;&gt;"",E185&lt;&gt;""),D185*E185,"")</f>
        <v/>
      </c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81">
        <f>IF(A185&lt;&gt;"",IFERROR(F185+G185+H185+I185+J185+K185+L185+M185+N185+O185,0),"")</f>
        <v/>
      </c>
      <c r="Q185" s="74">
        <f>IF(A185&lt;&gt;"",IFERROR(VLOOKUP(A185,Agenda!A:N,14,0),0),"")</f>
        <v/>
      </c>
      <c r="R185" s="28">
        <f>IF(A185&lt;&gt;"",Q185-P185,"")</f>
        <v/>
      </c>
      <c r="S185" s="84">
        <f>IF(AND(A185&lt;&gt;"",Q185&lt;&gt;0),R185/Q185*100,"")</f>
        <v/>
      </c>
      <c r="T185" s="73" t="n"/>
    </row>
    <row r="186" ht="18" customHeight="1">
      <c r="A186" s="54" t="n"/>
      <c r="B186" s="58">
        <f>IF(A186&lt;&gt;"",IFERROR(VLOOKUP(A186,Agenda!A:E,5,0),"—"),"")</f>
        <v/>
      </c>
      <c r="C186" s="59">
        <f>IF(A186&lt;&gt;"",IFERROR(VLOOKUP(A186,Agenda!A:K,11,0),"—"),"")</f>
        <v/>
      </c>
      <c r="D186" s="79" t="n"/>
      <c r="E186" s="80">
        <f>IF(A186&lt;&gt;"",IF(C186="Pick Up",7,IF(C186="1.5 Cerrada",9,IF(C186="2.5",10,IF(C186="3.5",12,0)))),"")</f>
        <v/>
      </c>
      <c r="F186" s="28">
        <f>IF(AND(D186&lt;&gt;"",E186&lt;&gt;""),D186*E186,"")</f>
        <v/>
      </c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81">
        <f>IF(A186&lt;&gt;"",IFERROR(F186+G186+H186+I186+J186+K186+L186+M186+N186+O186,0),"")</f>
        <v/>
      </c>
      <c r="Q186" s="62">
        <f>IF(A186&lt;&gt;"",IFERROR(VLOOKUP(A186,Agenda!A:N,14,0),0),"")</f>
        <v/>
      </c>
      <c r="R186" s="28">
        <f>IF(A186&lt;&gt;"",Q186-P186,"")</f>
        <v/>
      </c>
      <c r="S186" s="82">
        <f>IF(AND(A186&lt;&gt;"",Q186&lt;&gt;0),R186/Q186*100,"")</f>
        <v/>
      </c>
      <c r="T186" s="61" t="n"/>
    </row>
    <row r="187" ht="18" customHeight="1">
      <c r="A187" s="54" t="n"/>
      <c r="B187" s="70">
        <f>IF(A187&lt;&gt;"",IFERROR(VLOOKUP(A187,Agenda!A:E,5,0),"—"),"")</f>
        <v/>
      </c>
      <c r="C187" s="71">
        <f>IF(A187&lt;&gt;"",IFERROR(VLOOKUP(A187,Agenda!A:K,11,0),"—"),"")</f>
        <v/>
      </c>
      <c r="D187" s="83" t="n"/>
      <c r="E187" s="80">
        <f>IF(A187&lt;&gt;"",IF(C187="Pick Up",7,IF(C187="1.5 Cerrada",9,IF(C187="2.5",10,IF(C187="3.5",12,0)))),"")</f>
        <v/>
      </c>
      <c r="F187" s="28">
        <f>IF(AND(D187&lt;&gt;"",E187&lt;&gt;""),D187*E187,"")</f>
        <v/>
      </c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81">
        <f>IF(A187&lt;&gt;"",IFERROR(F187+G187+H187+I187+J187+K187+L187+M187+N187+O187,0),"")</f>
        <v/>
      </c>
      <c r="Q187" s="74">
        <f>IF(A187&lt;&gt;"",IFERROR(VLOOKUP(A187,Agenda!A:N,14,0),0),"")</f>
        <v/>
      </c>
      <c r="R187" s="28">
        <f>IF(A187&lt;&gt;"",Q187-P187,"")</f>
        <v/>
      </c>
      <c r="S187" s="84">
        <f>IF(AND(A187&lt;&gt;"",Q187&lt;&gt;0),R187/Q187*100,"")</f>
        <v/>
      </c>
      <c r="T187" s="73" t="n"/>
    </row>
    <row r="188" ht="18" customHeight="1">
      <c r="A188" s="54" t="n"/>
      <c r="B188" s="58">
        <f>IF(A188&lt;&gt;"",IFERROR(VLOOKUP(A188,Agenda!A:E,5,0),"—"),"")</f>
        <v/>
      </c>
      <c r="C188" s="59">
        <f>IF(A188&lt;&gt;"",IFERROR(VLOOKUP(A188,Agenda!A:K,11,0),"—"),"")</f>
        <v/>
      </c>
      <c r="D188" s="79" t="n"/>
      <c r="E188" s="80">
        <f>IF(A188&lt;&gt;"",IF(C188="Pick Up",7,IF(C188="1.5 Cerrada",9,IF(C188="2.5",10,IF(C188="3.5",12,0)))),"")</f>
        <v/>
      </c>
      <c r="F188" s="28">
        <f>IF(AND(D188&lt;&gt;"",E188&lt;&gt;""),D188*E188,"")</f>
        <v/>
      </c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81">
        <f>IF(A188&lt;&gt;"",IFERROR(F188+G188+H188+I188+J188+K188+L188+M188+N188+O188,0),"")</f>
        <v/>
      </c>
      <c r="Q188" s="62">
        <f>IF(A188&lt;&gt;"",IFERROR(VLOOKUP(A188,Agenda!A:N,14,0),0),"")</f>
        <v/>
      </c>
      <c r="R188" s="28">
        <f>IF(A188&lt;&gt;"",Q188-P188,"")</f>
        <v/>
      </c>
      <c r="S188" s="82">
        <f>IF(AND(A188&lt;&gt;"",Q188&lt;&gt;0),R188/Q188*100,"")</f>
        <v/>
      </c>
      <c r="T188" s="61" t="n"/>
    </row>
    <row r="189" ht="18" customHeight="1">
      <c r="A189" s="54" t="n"/>
      <c r="B189" s="70">
        <f>IF(A189&lt;&gt;"",IFERROR(VLOOKUP(A189,Agenda!A:E,5,0),"—"),"")</f>
        <v/>
      </c>
      <c r="C189" s="71">
        <f>IF(A189&lt;&gt;"",IFERROR(VLOOKUP(A189,Agenda!A:K,11,0),"—"),"")</f>
        <v/>
      </c>
      <c r="D189" s="83" t="n"/>
      <c r="E189" s="80">
        <f>IF(A189&lt;&gt;"",IF(C189="Pick Up",7,IF(C189="1.5 Cerrada",9,IF(C189="2.5",10,IF(C189="3.5",12,0)))),"")</f>
        <v/>
      </c>
      <c r="F189" s="28">
        <f>IF(AND(D189&lt;&gt;"",E189&lt;&gt;""),D189*E189,"")</f>
        <v/>
      </c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81">
        <f>IF(A189&lt;&gt;"",IFERROR(F189+G189+H189+I189+J189+K189+L189+M189+N189+O189,0),"")</f>
        <v/>
      </c>
      <c r="Q189" s="74">
        <f>IF(A189&lt;&gt;"",IFERROR(VLOOKUP(A189,Agenda!A:N,14,0),0),"")</f>
        <v/>
      </c>
      <c r="R189" s="28">
        <f>IF(A189&lt;&gt;"",Q189-P189,"")</f>
        <v/>
      </c>
      <c r="S189" s="84">
        <f>IF(AND(A189&lt;&gt;"",Q189&lt;&gt;0),R189/Q189*100,"")</f>
        <v/>
      </c>
      <c r="T189" s="73" t="n"/>
    </row>
    <row r="190" ht="18" customHeight="1">
      <c r="A190" s="54" t="n"/>
      <c r="B190" s="58">
        <f>IF(A190&lt;&gt;"",IFERROR(VLOOKUP(A190,Agenda!A:E,5,0),"—"),"")</f>
        <v/>
      </c>
      <c r="C190" s="59">
        <f>IF(A190&lt;&gt;"",IFERROR(VLOOKUP(A190,Agenda!A:K,11,0),"—"),"")</f>
        <v/>
      </c>
      <c r="D190" s="79" t="n"/>
      <c r="E190" s="80">
        <f>IF(A190&lt;&gt;"",IF(C190="Pick Up",7,IF(C190="1.5 Cerrada",9,IF(C190="2.5",10,IF(C190="3.5",12,0)))),"")</f>
        <v/>
      </c>
      <c r="F190" s="28">
        <f>IF(AND(D190&lt;&gt;"",E190&lt;&gt;""),D190*E190,"")</f>
        <v/>
      </c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81">
        <f>IF(A190&lt;&gt;"",IFERROR(F190+G190+H190+I190+J190+K190+L190+M190+N190+O190,0),"")</f>
        <v/>
      </c>
      <c r="Q190" s="62">
        <f>IF(A190&lt;&gt;"",IFERROR(VLOOKUP(A190,Agenda!A:N,14,0),0),"")</f>
        <v/>
      </c>
      <c r="R190" s="28">
        <f>IF(A190&lt;&gt;"",Q190-P190,"")</f>
        <v/>
      </c>
      <c r="S190" s="82">
        <f>IF(AND(A190&lt;&gt;"",Q190&lt;&gt;0),R190/Q190*100,"")</f>
        <v/>
      </c>
      <c r="T190" s="61" t="n"/>
    </row>
    <row r="191" ht="18" customHeight="1">
      <c r="A191" s="54" t="n"/>
      <c r="B191" s="70">
        <f>IF(A191&lt;&gt;"",IFERROR(VLOOKUP(A191,Agenda!A:E,5,0),"—"),"")</f>
        <v/>
      </c>
      <c r="C191" s="71">
        <f>IF(A191&lt;&gt;"",IFERROR(VLOOKUP(A191,Agenda!A:K,11,0),"—"),"")</f>
        <v/>
      </c>
      <c r="D191" s="83" t="n"/>
      <c r="E191" s="80">
        <f>IF(A191&lt;&gt;"",IF(C191="Pick Up",7,IF(C191="1.5 Cerrada",9,IF(C191="2.5",10,IF(C191="3.5",12,0)))),"")</f>
        <v/>
      </c>
      <c r="F191" s="28">
        <f>IF(AND(D191&lt;&gt;"",E191&lt;&gt;""),D191*E191,"")</f>
        <v/>
      </c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81">
        <f>IF(A191&lt;&gt;"",IFERROR(F191+G191+H191+I191+J191+K191+L191+M191+N191+O191,0),"")</f>
        <v/>
      </c>
      <c r="Q191" s="74">
        <f>IF(A191&lt;&gt;"",IFERROR(VLOOKUP(A191,Agenda!A:N,14,0),0),"")</f>
        <v/>
      </c>
      <c r="R191" s="28">
        <f>IF(A191&lt;&gt;"",Q191-P191,"")</f>
        <v/>
      </c>
      <c r="S191" s="84">
        <f>IF(AND(A191&lt;&gt;"",Q191&lt;&gt;0),R191/Q191*100,"")</f>
        <v/>
      </c>
      <c r="T191" s="73" t="n"/>
    </row>
    <row r="192" ht="18" customHeight="1">
      <c r="A192" s="54" t="n"/>
      <c r="B192" s="58">
        <f>IF(A192&lt;&gt;"",IFERROR(VLOOKUP(A192,Agenda!A:E,5,0),"—"),"")</f>
        <v/>
      </c>
      <c r="C192" s="59">
        <f>IF(A192&lt;&gt;"",IFERROR(VLOOKUP(A192,Agenda!A:K,11,0),"—"),"")</f>
        <v/>
      </c>
      <c r="D192" s="79" t="n"/>
      <c r="E192" s="80">
        <f>IF(A192&lt;&gt;"",IF(C192="Pick Up",7,IF(C192="1.5 Cerrada",9,IF(C192="2.5",10,IF(C192="3.5",12,0)))),"")</f>
        <v/>
      </c>
      <c r="F192" s="28">
        <f>IF(AND(D192&lt;&gt;"",E192&lt;&gt;""),D192*E192,"")</f>
        <v/>
      </c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81">
        <f>IF(A192&lt;&gt;"",IFERROR(F192+G192+H192+I192+J192+K192+L192+M192+N192+O192,0),"")</f>
        <v/>
      </c>
      <c r="Q192" s="62">
        <f>IF(A192&lt;&gt;"",IFERROR(VLOOKUP(A192,Agenda!A:N,14,0),0),"")</f>
        <v/>
      </c>
      <c r="R192" s="28">
        <f>IF(A192&lt;&gt;"",Q192-P192,"")</f>
        <v/>
      </c>
      <c r="S192" s="82">
        <f>IF(AND(A192&lt;&gt;"",Q192&lt;&gt;0),R192/Q192*100,"")</f>
        <v/>
      </c>
      <c r="T192" s="61" t="n"/>
    </row>
    <row r="193" ht="18" customHeight="1">
      <c r="A193" s="54" t="n"/>
      <c r="B193" s="70">
        <f>IF(A193&lt;&gt;"",IFERROR(VLOOKUP(A193,Agenda!A:E,5,0),"—"),"")</f>
        <v/>
      </c>
      <c r="C193" s="71">
        <f>IF(A193&lt;&gt;"",IFERROR(VLOOKUP(A193,Agenda!A:K,11,0),"—"),"")</f>
        <v/>
      </c>
      <c r="D193" s="83" t="n"/>
      <c r="E193" s="80">
        <f>IF(A193&lt;&gt;"",IF(C193="Pick Up",7,IF(C193="1.5 Cerrada",9,IF(C193="2.5",10,IF(C193="3.5",12,0)))),"")</f>
        <v/>
      </c>
      <c r="F193" s="28">
        <f>IF(AND(D193&lt;&gt;"",E193&lt;&gt;""),D193*E193,"")</f>
        <v/>
      </c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81">
        <f>IF(A193&lt;&gt;"",IFERROR(F193+G193+H193+I193+J193+K193+L193+M193+N193+O193,0),"")</f>
        <v/>
      </c>
      <c r="Q193" s="74">
        <f>IF(A193&lt;&gt;"",IFERROR(VLOOKUP(A193,Agenda!A:N,14,0),0),"")</f>
        <v/>
      </c>
      <c r="R193" s="28">
        <f>IF(A193&lt;&gt;"",Q193-P193,"")</f>
        <v/>
      </c>
      <c r="S193" s="84">
        <f>IF(AND(A193&lt;&gt;"",Q193&lt;&gt;0),R193/Q193*100,"")</f>
        <v/>
      </c>
      <c r="T193" s="73" t="n"/>
    </row>
    <row r="194" ht="18" customHeight="1">
      <c r="A194" s="54" t="n"/>
      <c r="B194" s="58">
        <f>IF(A194&lt;&gt;"",IFERROR(VLOOKUP(A194,Agenda!A:E,5,0),"—"),"")</f>
        <v/>
      </c>
      <c r="C194" s="59">
        <f>IF(A194&lt;&gt;"",IFERROR(VLOOKUP(A194,Agenda!A:K,11,0),"—"),"")</f>
        <v/>
      </c>
      <c r="D194" s="79" t="n"/>
      <c r="E194" s="80">
        <f>IF(A194&lt;&gt;"",IF(C194="Pick Up",7,IF(C194="1.5 Cerrada",9,IF(C194="2.5",10,IF(C194="3.5",12,0)))),"")</f>
        <v/>
      </c>
      <c r="F194" s="28">
        <f>IF(AND(D194&lt;&gt;"",E194&lt;&gt;""),D194*E194,"")</f>
        <v/>
      </c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81">
        <f>IF(A194&lt;&gt;"",IFERROR(F194+G194+H194+I194+J194+K194+L194+M194+N194+O194,0),"")</f>
        <v/>
      </c>
      <c r="Q194" s="62">
        <f>IF(A194&lt;&gt;"",IFERROR(VLOOKUP(A194,Agenda!A:N,14,0),0),"")</f>
        <v/>
      </c>
      <c r="R194" s="28">
        <f>IF(A194&lt;&gt;"",Q194-P194,"")</f>
        <v/>
      </c>
      <c r="S194" s="82">
        <f>IF(AND(A194&lt;&gt;"",Q194&lt;&gt;0),R194/Q194*100,"")</f>
        <v/>
      </c>
      <c r="T194" s="61" t="n"/>
    </row>
    <row r="195" ht="18" customHeight="1">
      <c r="A195" s="54" t="n"/>
      <c r="B195" s="70">
        <f>IF(A195&lt;&gt;"",IFERROR(VLOOKUP(A195,Agenda!A:E,5,0),"—"),"")</f>
        <v/>
      </c>
      <c r="C195" s="71">
        <f>IF(A195&lt;&gt;"",IFERROR(VLOOKUP(A195,Agenda!A:K,11,0),"—"),"")</f>
        <v/>
      </c>
      <c r="D195" s="83" t="n"/>
      <c r="E195" s="80">
        <f>IF(A195&lt;&gt;"",IF(C195="Pick Up",7,IF(C195="1.5 Cerrada",9,IF(C195="2.5",10,IF(C195="3.5",12,0)))),"")</f>
        <v/>
      </c>
      <c r="F195" s="28">
        <f>IF(AND(D195&lt;&gt;"",E195&lt;&gt;""),D195*E195,"")</f>
        <v/>
      </c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81">
        <f>IF(A195&lt;&gt;"",IFERROR(F195+G195+H195+I195+J195+K195+L195+M195+N195+O195,0),"")</f>
        <v/>
      </c>
      <c r="Q195" s="74">
        <f>IF(A195&lt;&gt;"",IFERROR(VLOOKUP(A195,Agenda!A:N,14,0),0),"")</f>
        <v/>
      </c>
      <c r="R195" s="28">
        <f>IF(A195&lt;&gt;"",Q195-P195,"")</f>
        <v/>
      </c>
      <c r="S195" s="84">
        <f>IF(AND(A195&lt;&gt;"",Q195&lt;&gt;0),R195/Q195*100,"")</f>
        <v/>
      </c>
      <c r="T195" s="73" t="n"/>
    </row>
    <row r="196" ht="18" customHeight="1">
      <c r="A196" s="54" t="n"/>
      <c r="B196" s="58">
        <f>IF(A196&lt;&gt;"",IFERROR(VLOOKUP(A196,Agenda!A:E,5,0),"—"),"")</f>
        <v/>
      </c>
      <c r="C196" s="59">
        <f>IF(A196&lt;&gt;"",IFERROR(VLOOKUP(A196,Agenda!A:K,11,0),"—"),"")</f>
        <v/>
      </c>
      <c r="D196" s="79" t="n"/>
      <c r="E196" s="80">
        <f>IF(A196&lt;&gt;"",IF(C196="Pick Up",7,IF(C196="1.5 Cerrada",9,IF(C196="2.5",10,IF(C196="3.5",12,0)))),"")</f>
        <v/>
      </c>
      <c r="F196" s="28">
        <f>IF(AND(D196&lt;&gt;"",E196&lt;&gt;""),D196*E196,"")</f>
        <v/>
      </c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81">
        <f>IF(A196&lt;&gt;"",IFERROR(F196+G196+H196+I196+J196+K196+L196+M196+N196+O196,0),"")</f>
        <v/>
      </c>
      <c r="Q196" s="62">
        <f>IF(A196&lt;&gt;"",IFERROR(VLOOKUP(A196,Agenda!A:N,14,0),0),"")</f>
        <v/>
      </c>
      <c r="R196" s="28">
        <f>IF(A196&lt;&gt;"",Q196-P196,"")</f>
        <v/>
      </c>
      <c r="S196" s="82">
        <f>IF(AND(A196&lt;&gt;"",Q196&lt;&gt;0),R196/Q196*100,"")</f>
        <v/>
      </c>
      <c r="T196" s="61" t="n"/>
    </row>
    <row r="197" ht="18" customHeight="1">
      <c r="A197" s="54" t="n"/>
      <c r="B197" s="70">
        <f>IF(A197&lt;&gt;"",IFERROR(VLOOKUP(A197,Agenda!A:E,5,0),"—"),"")</f>
        <v/>
      </c>
      <c r="C197" s="71">
        <f>IF(A197&lt;&gt;"",IFERROR(VLOOKUP(A197,Agenda!A:K,11,0),"—"),"")</f>
        <v/>
      </c>
      <c r="D197" s="83" t="n"/>
      <c r="E197" s="80">
        <f>IF(A197&lt;&gt;"",IF(C197="Pick Up",7,IF(C197="1.5 Cerrada",9,IF(C197="2.5",10,IF(C197="3.5",12,0)))),"")</f>
        <v/>
      </c>
      <c r="F197" s="28">
        <f>IF(AND(D197&lt;&gt;"",E197&lt;&gt;""),D197*E197,"")</f>
        <v/>
      </c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81">
        <f>IF(A197&lt;&gt;"",IFERROR(F197+G197+H197+I197+J197+K197+L197+M197+N197+O197,0),"")</f>
        <v/>
      </c>
      <c r="Q197" s="74">
        <f>IF(A197&lt;&gt;"",IFERROR(VLOOKUP(A197,Agenda!A:N,14,0),0),"")</f>
        <v/>
      </c>
      <c r="R197" s="28">
        <f>IF(A197&lt;&gt;"",Q197-P197,"")</f>
        <v/>
      </c>
      <c r="S197" s="84">
        <f>IF(AND(A197&lt;&gt;"",Q197&lt;&gt;0),R197/Q197*100,"")</f>
        <v/>
      </c>
      <c r="T197" s="73" t="n"/>
    </row>
    <row r="198" ht="18" customHeight="1">
      <c r="A198" s="54" t="n"/>
      <c r="B198" s="58">
        <f>IF(A198&lt;&gt;"",IFERROR(VLOOKUP(A198,Agenda!A:E,5,0),"—"),"")</f>
        <v/>
      </c>
      <c r="C198" s="59">
        <f>IF(A198&lt;&gt;"",IFERROR(VLOOKUP(A198,Agenda!A:K,11,0),"—"),"")</f>
        <v/>
      </c>
      <c r="D198" s="79" t="n"/>
      <c r="E198" s="80">
        <f>IF(A198&lt;&gt;"",IF(C198="Pick Up",7,IF(C198="1.5 Cerrada",9,IF(C198="2.5",10,IF(C198="3.5",12,0)))),"")</f>
        <v/>
      </c>
      <c r="F198" s="28">
        <f>IF(AND(D198&lt;&gt;"",E198&lt;&gt;""),D198*E198,"")</f>
        <v/>
      </c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81">
        <f>IF(A198&lt;&gt;"",IFERROR(F198+G198+H198+I198+J198+K198+L198+M198+N198+O198,0),"")</f>
        <v/>
      </c>
      <c r="Q198" s="62">
        <f>IF(A198&lt;&gt;"",IFERROR(VLOOKUP(A198,Agenda!A:N,14,0),0),"")</f>
        <v/>
      </c>
      <c r="R198" s="28">
        <f>IF(A198&lt;&gt;"",Q198-P198,"")</f>
        <v/>
      </c>
      <c r="S198" s="82">
        <f>IF(AND(A198&lt;&gt;"",Q198&lt;&gt;0),R198/Q198*100,"")</f>
        <v/>
      </c>
      <c r="T198" s="61" t="n"/>
    </row>
    <row r="199" ht="18" customHeight="1">
      <c r="A199" s="54" t="n"/>
      <c r="B199" s="70">
        <f>IF(A199&lt;&gt;"",IFERROR(VLOOKUP(A199,Agenda!A:E,5,0),"—"),"")</f>
        <v/>
      </c>
      <c r="C199" s="71">
        <f>IF(A199&lt;&gt;"",IFERROR(VLOOKUP(A199,Agenda!A:K,11,0),"—"),"")</f>
        <v/>
      </c>
      <c r="D199" s="83" t="n"/>
      <c r="E199" s="80">
        <f>IF(A199&lt;&gt;"",IF(C199="Pick Up",7,IF(C199="1.5 Cerrada",9,IF(C199="2.5",10,IF(C199="3.5",12,0)))),"")</f>
        <v/>
      </c>
      <c r="F199" s="28">
        <f>IF(AND(D199&lt;&gt;"",E199&lt;&gt;""),D199*E199,"")</f>
        <v/>
      </c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81">
        <f>IF(A199&lt;&gt;"",IFERROR(F199+G199+H199+I199+J199+K199+L199+M199+N199+O199,0),"")</f>
        <v/>
      </c>
      <c r="Q199" s="74">
        <f>IF(A199&lt;&gt;"",IFERROR(VLOOKUP(A199,Agenda!A:N,14,0),0),"")</f>
        <v/>
      </c>
      <c r="R199" s="28">
        <f>IF(A199&lt;&gt;"",Q199-P199,"")</f>
        <v/>
      </c>
      <c r="S199" s="84">
        <f>IF(AND(A199&lt;&gt;"",Q199&lt;&gt;0),R199/Q199*100,"")</f>
        <v/>
      </c>
      <c r="T199" s="73" t="n"/>
    </row>
    <row r="200" ht="18" customHeight="1">
      <c r="A200" s="54" t="n"/>
      <c r="B200" s="58">
        <f>IF(A200&lt;&gt;"",IFERROR(VLOOKUP(A200,Agenda!A:E,5,0),"—"),"")</f>
        <v/>
      </c>
      <c r="C200" s="59">
        <f>IF(A200&lt;&gt;"",IFERROR(VLOOKUP(A200,Agenda!A:K,11,0),"—"),"")</f>
        <v/>
      </c>
      <c r="D200" s="79" t="n"/>
      <c r="E200" s="80">
        <f>IF(A200&lt;&gt;"",IF(C200="Pick Up",7,IF(C200="1.5 Cerrada",9,IF(C200="2.5",10,IF(C200="3.5",12,0)))),"")</f>
        <v/>
      </c>
      <c r="F200" s="28">
        <f>IF(AND(D200&lt;&gt;"",E200&lt;&gt;""),D200*E200,"")</f>
        <v/>
      </c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81">
        <f>IF(A200&lt;&gt;"",IFERROR(F200+G200+H200+I200+J200+K200+L200+M200+N200+O200,0),"")</f>
        <v/>
      </c>
      <c r="Q200" s="62">
        <f>IF(A200&lt;&gt;"",IFERROR(VLOOKUP(A200,Agenda!A:N,14,0),0),"")</f>
        <v/>
      </c>
      <c r="R200" s="28">
        <f>IF(A200&lt;&gt;"",Q200-P200,"")</f>
        <v/>
      </c>
      <c r="S200" s="82">
        <f>IF(AND(A200&lt;&gt;"",Q200&lt;&gt;0),R200/Q200*100,"")</f>
        <v/>
      </c>
      <c r="T200" s="61" t="n"/>
    </row>
    <row r="201" ht="18" customHeight="1">
      <c r="A201" s="54" t="n"/>
      <c r="B201" s="70">
        <f>IF(A201&lt;&gt;"",IFERROR(VLOOKUP(A201,Agenda!A:E,5,0),"—"),"")</f>
        <v/>
      </c>
      <c r="C201" s="71">
        <f>IF(A201&lt;&gt;"",IFERROR(VLOOKUP(A201,Agenda!A:K,11,0),"—"),"")</f>
        <v/>
      </c>
      <c r="D201" s="83" t="n"/>
      <c r="E201" s="80">
        <f>IF(A201&lt;&gt;"",IF(C201="Pick Up",7,IF(C201="1.5 Cerrada",9,IF(C201="2.5",10,IF(C201="3.5",12,0)))),"")</f>
        <v/>
      </c>
      <c r="F201" s="28">
        <f>IF(AND(D201&lt;&gt;"",E201&lt;&gt;""),D201*E201,"")</f>
        <v/>
      </c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81">
        <f>IF(A201&lt;&gt;"",IFERROR(F201+G201+H201+I201+J201+K201+L201+M201+N201+O201,0),"")</f>
        <v/>
      </c>
      <c r="Q201" s="74">
        <f>IF(A201&lt;&gt;"",IFERROR(VLOOKUP(A201,Agenda!A:N,14,0),0),"")</f>
        <v/>
      </c>
      <c r="R201" s="28">
        <f>IF(A201&lt;&gt;"",Q201-P201,"")</f>
        <v/>
      </c>
      <c r="S201" s="84">
        <f>IF(AND(A201&lt;&gt;"",Q201&lt;&gt;0),R201/Q201*100,"")</f>
        <v/>
      </c>
      <c r="T201" s="73" t="n"/>
    </row>
    <row r="202" ht="18" customHeight="1">
      <c r="A202" s="54" t="n"/>
      <c r="B202" s="58">
        <f>IF(A202&lt;&gt;"",IFERROR(VLOOKUP(A202,Agenda!A:E,5,0),"—"),"")</f>
        <v/>
      </c>
      <c r="C202" s="59">
        <f>IF(A202&lt;&gt;"",IFERROR(VLOOKUP(A202,Agenda!A:K,11,0),"—"),"")</f>
        <v/>
      </c>
      <c r="D202" s="79" t="n"/>
      <c r="E202" s="80">
        <f>IF(A202&lt;&gt;"",IF(C202="Pick Up",7,IF(C202="1.5 Cerrada",9,IF(C202="2.5",10,IF(C202="3.5",12,0)))),"")</f>
        <v/>
      </c>
      <c r="F202" s="28">
        <f>IF(AND(D202&lt;&gt;"",E202&lt;&gt;""),D202*E202,"")</f>
        <v/>
      </c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81">
        <f>IF(A202&lt;&gt;"",IFERROR(F202+G202+H202+I202+J202+K202+L202+M202+N202+O202,0),"")</f>
        <v/>
      </c>
      <c r="Q202" s="62">
        <f>IF(A202&lt;&gt;"",IFERROR(VLOOKUP(A202,Agenda!A:N,14,0),0),"")</f>
        <v/>
      </c>
      <c r="R202" s="28">
        <f>IF(A202&lt;&gt;"",Q202-P202,"")</f>
        <v/>
      </c>
      <c r="S202" s="82">
        <f>IF(AND(A202&lt;&gt;"",Q202&lt;&gt;0),R202/Q202*100,"")</f>
        <v/>
      </c>
      <c r="T202" s="61" t="n"/>
    </row>
    <row r="203" ht="18" customHeight="1">
      <c r="A203" s="54" t="n"/>
      <c r="B203" s="70">
        <f>IF(A203&lt;&gt;"",IFERROR(VLOOKUP(A203,Agenda!A:E,5,0),"—"),"")</f>
        <v/>
      </c>
      <c r="C203" s="71">
        <f>IF(A203&lt;&gt;"",IFERROR(VLOOKUP(A203,Agenda!A:K,11,0),"—"),"")</f>
        <v/>
      </c>
      <c r="D203" s="83" t="n"/>
      <c r="E203" s="80">
        <f>IF(A203&lt;&gt;"",IF(C203="Pick Up",7,IF(C203="1.5 Cerrada",9,IF(C203="2.5",10,IF(C203="3.5",12,0)))),"")</f>
        <v/>
      </c>
      <c r="F203" s="28">
        <f>IF(AND(D203&lt;&gt;"",E203&lt;&gt;""),D203*E203,"")</f>
        <v/>
      </c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81">
        <f>IF(A203&lt;&gt;"",IFERROR(F203+G203+H203+I203+J203+K203+L203+M203+N203+O203,0),"")</f>
        <v/>
      </c>
      <c r="Q203" s="74">
        <f>IF(A203&lt;&gt;"",IFERROR(VLOOKUP(A203,Agenda!A:N,14,0),0),"")</f>
        <v/>
      </c>
      <c r="R203" s="28">
        <f>IF(A203&lt;&gt;"",Q203-P203,"")</f>
        <v/>
      </c>
      <c r="S203" s="84">
        <f>IF(AND(A203&lt;&gt;"",Q203&lt;&gt;0),R203/Q203*100,"")</f>
        <v/>
      </c>
      <c r="T203" s="73" t="n"/>
    </row>
  </sheetData>
  <mergeCells count="2">
    <mergeCell ref="A1:T1"/>
    <mergeCell ref="A2:T2"/>
  </mergeCells>
  <conditionalFormatting sqref="S4:S203">
    <cfRule type="colorScale" priority="1">
      <colorScale>
        <cfvo type="num" val="0"/>
        <cfvo type="num" val="30"/>
        <cfvo type="num" val="60"/>
        <color rgb="00FF0000"/>
        <color rgb="00FFFF00"/>
        <color rgb="0000A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2" customWidth="1" min="8" max="8"/>
    <col width="14" customWidth="1" min="9" max="9"/>
  </cols>
  <sheetData>
    <row r="1" ht="35" customHeight="1">
      <c r="A1" s="51" t="inlineStr">
        <is>
          <t>MUDANZAS METEPEC — CONTROL POR UNIDAD</t>
        </is>
      </c>
    </row>
    <row r="2" ht="22" customHeight="1">
      <c r="A2" s="52" t="inlineStr">
        <is>
          <t>Desempeño · Metas · Ocupación · Rentabilidad</t>
        </is>
      </c>
    </row>
    <row r="3" ht="25" customHeight="1">
      <c r="A3" s="87" t="inlineStr">
        <is>
          <t>RESUMEN MENSUAL</t>
        </is>
      </c>
    </row>
    <row r="4" ht="28" customHeight="1">
      <c r="A4" s="19" t="inlineStr">
        <is>
          <t>UNIDAD</t>
        </is>
      </c>
      <c r="B4" s="19" t="inlineStr">
        <is>
          <t>SERVICIOS</t>
        </is>
      </c>
      <c r="C4" s="19" t="inlineStr">
        <is>
          <t>VENTAS $</t>
        </is>
      </c>
      <c r="D4" s="19" t="inlineStr">
        <is>
          <t>COSTOS $</t>
        </is>
      </c>
      <c r="E4" s="19" t="inlineStr">
        <is>
          <t>UTILIDAD $</t>
        </is>
      </c>
      <c r="F4" s="19" t="inlineStr">
        <is>
          <t>KM TOTAL</t>
        </is>
      </c>
      <c r="G4" s="19" t="inlineStr">
        <is>
          <t>META MES $</t>
        </is>
      </c>
      <c r="H4" s="19" t="inlineStr">
        <is>
          <t>CUMP. %</t>
        </is>
      </c>
      <c r="I4" s="19" t="inlineStr">
        <is>
          <t>ESTADO</t>
        </is>
      </c>
    </row>
    <row r="5" ht="22" customHeight="1">
      <c r="A5" s="54" t="inlineStr">
        <is>
          <t>Pick Up</t>
        </is>
      </c>
      <c r="B5" s="39">
        <f>COUNTIF(Agenda!K:K,"Pick Up")</f>
        <v/>
      </c>
      <c r="C5" s="40">
        <f>SUMIF(Agenda!K:K,"Pick Up",Agenda!N:N)</f>
        <v/>
      </c>
      <c r="D5" s="43">
        <f>SUMIF(Costos!C:C,"Pick Up",Costos!P:P)</f>
        <v/>
      </c>
      <c r="E5" s="28">
        <f>C5-D5</f>
        <v/>
      </c>
      <c r="F5" s="88">
        <f>SUMIF(Costos!C:C,"Pick Up",Costos!D:D)</f>
        <v/>
      </c>
      <c r="G5" s="89" t="n">
        <v>24250</v>
      </c>
      <c r="H5" s="42">
        <f>IF(G5&gt;0,C5/G5*100,0)</f>
        <v/>
      </c>
      <c r="I5" s="71">
        <f>IF(H5&gt;=100,"✅ META CUMPLIDA",IF(H5&gt;=70,"⚠️ En camino","🔴 Atención"))</f>
        <v/>
      </c>
    </row>
    <row r="6" ht="22" customHeight="1">
      <c r="A6" s="54" t="inlineStr">
        <is>
          <t>1.5 Cerrada</t>
        </is>
      </c>
      <c r="B6" s="90">
        <f>COUNTIF(Agenda!K:K,"1.5 Cerrada")</f>
        <v/>
      </c>
      <c r="C6" s="91">
        <f>SUMIF(Agenda!K:K,"1.5 Cerrada",Agenda!N:N)</f>
        <v/>
      </c>
      <c r="D6" s="92">
        <f>SUMIF(Costos!C:C,"1.5 Cerrada",Costos!P:P)</f>
        <v/>
      </c>
      <c r="E6" s="28">
        <f>C6-D6</f>
        <v/>
      </c>
      <c r="F6" s="93">
        <f>SUMIF(Costos!C:C,"1.5 Cerrada",Costos!D:D)</f>
        <v/>
      </c>
      <c r="G6" s="89" t="n">
        <v>28450</v>
      </c>
      <c r="H6" s="94">
        <f>IF(G6&gt;0,C6/G6*100,0)</f>
        <v/>
      </c>
      <c r="I6" s="59">
        <f>IF(H6&gt;=100,"✅ META CUMPLIDA",IF(H6&gt;=70,"⚠️ En camino","🔴 Atención"))</f>
        <v/>
      </c>
    </row>
    <row r="7" ht="22" customHeight="1">
      <c r="A7" s="54" t="inlineStr">
        <is>
          <t>2.5</t>
        </is>
      </c>
      <c r="B7" s="39">
        <f>COUNTIF(Agenda!K:K,"2.5")</f>
        <v/>
      </c>
      <c r="C7" s="40">
        <f>SUMIF(Agenda!K:K,"2.5",Agenda!N:N)</f>
        <v/>
      </c>
      <c r="D7" s="43">
        <f>SUMIF(Costos!C:C,"2.5",Costos!P:P)</f>
        <v/>
      </c>
      <c r="E7" s="28">
        <f>C7-D7</f>
        <v/>
      </c>
      <c r="F7" s="88">
        <f>SUMIF(Costos!C:C,"2.5",Costos!D:D)</f>
        <v/>
      </c>
      <c r="G7" s="89" t="n">
        <v>31250</v>
      </c>
      <c r="H7" s="42">
        <f>IF(G7&gt;0,C7/G7*100,0)</f>
        <v/>
      </c>
      <c r="I7" s="71">
        <f>IF(H7&gt;=100,"✅ META CUMPLIDA",IF(H7&gt;=70,"⚠️ En camino","🔴 Atención"))</f>
        <v/>
      </c>
    </row>
    <row r="8" ht="22" customHeight="1">
      <c r="A8" s="54" t="inlineStr">
        <is>
          <t>3.5</t>
        </is>
      </c>
      <c r="B8" s="90">
        <f>COUNTIF(Agenda!K:K,"3.5")</f>
        <v/>
      </c>
      <c r="C8" s="91">
        <f>SUMIF(Agenda!K:K,"3.5",Agenda!N:N)</f>
        <v/>
      </c>
      <c r="D8" s="92">
        <f>SUMIF(Costos!C:C,"3.5",Costos!P:P)</f>
        <v/>
      </c>
      <c r="E8" s="28">
        <f>C8-D8</f>
        <v/>
      </c>
      <c r="F8" s="93">
        <f>SUMIF(Costos!C:C,"3.5",Costos!D:D)</f>
        <v/>
      </c>
      <c r="G8" s="89" t="n">
        <v>15250</v>
      </c>
      <c r="H8" s="94">
        <f>IF(G8&gt;0,C8/G8*100,0)</f>
        <v/>
      </c>
      <c r="I8" s="59">
        <f>IF(H8&gt;=100,"✅ META CUMPLIDA",IF(H8&gt;=70,"⚠️ En camino","🔴 Atención"))</f>
        <v/>
      </c>
    </row>
    <row r="9" ht="22" customHeight="1">
      <c r="A9" s="95" t="inlineStr">
        <is>
          <t>TOTAL FLOTA</t>
        </is>
      </c>
      <c r="B9" s="96">
        <f>SUM(B5:B8)</f>
        <v/>
      </c>
      <c r="C9" s="97">
        <f>SUM(C5:C8)</f>
        <v/>
      </c>
      <c r="D9" s="97">
        <f>SUM(D5:D8)</f>
        <v/>
      </c>
      <c r="E9" s="97">
        <f>SUM(E5:E8)</f>
        <v/>
      </c>
      <c r="F9" s="98">
        <f>SUM(F5:F8)</f>
        <v/>
      </c>
      <c r="G9" s="97">
        <f>SUM(G5:G8)</f>
        <v/>
      </c>
    </row>
    <row r="11" ht="25" customHeight="1">
      <c r="A11" s="87" t="inlineStr">
        <is>
          <t>RESUMEN SEMANAL</t>
        </is>
      </c>
    </row>
    <row r="12" ht="28" customHeight="1">
      <c r="A12" s="78" t="inlineStr">
        <is>
          <t>UNIDAD</t>
        </is>
      </c>
      <c r="B12" s="78" t="inlineStr">
        <is>
          <t>SERVICIOS SEMANA</t>
        </is>
      </c>
      <c r="C12" s="78" t="inlineStr">
        <is>
          <t>VENTAS SEMANA $</t>
        </is>
      </c>
      <c r="D12" s="78" t="inlineStr">
        <is>
          <t>META SEMANA $</t>
        </is>
      </c>
      <c r="E12" s="78" t="inlineStr">
        <is>
          <t>CUMP. SEMANAL %</t>
        </is>
      </c>
      <c r="F12" s="78" t="inlineStr">
        <is>
          <t>FALTA $</t>
        </is>
      </c>
      <c r="G12" s="78" t="inlineStr">
        <is>
          <t>PROM. x SERVICIO $</t>
        </is>
      </c>
      <c r="H12" s="78" t="inlineStr">
        <is>
          <t>MEJOR SEMANA</t>
        </is>
      </c>
      <c r="I12" s="78" t="inlineStr">
        <is>
          <t>NOTA</t>
        </is>
      </c>
    </row>
    <row r="13" ht="22" customHeight="1">
      <c r="A13" s="54" t="inlineStr">
        <is>
          <t>Pick Up</t>
        </is>
      </c>
      <c r="B13" s="90">
        <f>COUNTIFS(Agenda!K:K,"Pick Up",Agenda!C:C,"&gt;="&amp;TODAY()-7,Agenda!C:C,"&lt;="&amp;TODAY())</f>
        <v/>
      </c>
      <c r="C13" s="91">
        <f>SUMIFS(Agenda!N:N,Agenda!K:K,"Pick Up",Agenda!C:C,"&gt;="&amp;TODAY()-7,Agenda!C:C,"&lt;="&amp;TODAY())</f>
        <v/>
      </c>
      <c r="D13" s="89" t="n">
        <v>5600</v>
      </c>
      <c r="E13" s="94">
        <f>IF(D13&gt;0,C13/D13*100,0)</f>
        <v/>
      </c>
      <c r="F13" s="50">
        <f>MAX(0,D13-C13)</f>
        <v/>
      </c>
      <c r="G13" s="62">
        <f>IF(B13&gt;0,C13/B13,0)</f>
        <v/>
      </c>
      <c r="H13" s="99" t="inlineStr"/>
      <c r="I13" s="99" t="inlineStr"/>
    </row>
    <row r="14" ht="22" customHeight="1">
      <c r="A14" s="54" t="inlineStr">
        <is>
          <t>1.5 Cerrada</t>
        </is>
      </c>
      <c r="B14" s="39">
        <f>COUNTIFS(Agenda!K:K,"1.5 Cerrada",Agenda!C:C,"&gt;="&amp;TODAY()-7,Agenda!C:C,"&lt;="&amp;TODAY())</f>
        <v/>
      </c>
      <c r="C14" s="40">
        <f>SUMIFS(Agenda!N:N,Agenda!K:K,"1.5 Cerrada",Agenda!C:C,"&gt;="&amp;TODAY()-7,Agenda!C:C,"&lt;="&amp;TODAY())</f>
        <v/>
      </c>
      <c r="D14" s="89" t="n">
        <v>6570</v>
      </c>
      <c r="E14" s="42">
        <f>IF(D14&gt;0,C14/D14*100,0)</f>
        <v/>
      </c>
      <c r="F14" s="50">
        <f>MAX(0,D14-C14)</f>
        <v/>
      </c>
      <c r="G14" s="74">
        <f>IF(B14&gt;0,C14/B14,0)</f>
        <v/>
      </c>
      <c r="H14" s="99" t="inlineStr"/>
      <c r="I14" s="99" t="inlineStr"/>
    </row>
    <row r="15" ht="22" customHeight="1">
      <c r="A15" s="54" t="inlineStr">
        <is>
          <t>2.5</t>
        </is>
      </c>
      <c r="B15" s="90">
        <f>COUNTIFS(Agenda!K:K,"2.5",Agenda!C:C,"&gt;="&amp;TODAY()-7,Agenda!C:C,"&lt;="&amp;TODAY())</f>
        <v/>
      </c>
      <c r="C15" s="91">
        <f>SUMIFS(Agenda!N:N,Agenda!K:K,"2.5",Agenda!C:C,"&gt;="&amp;TODAY()-7,Agenda!C:C,"&lt;="&amp;TODAY())</f>
        <v/>
      </c>
      <c r="D15" s="89" t="n">
        <v>7220</v>
      </c>
      <c r="E15" s="94">
        <f>IF(D15&gt;0,C15/D15*100,0)</f>
        <v/>
      </c>
      <c r="F15" s="50">
        <f>MAX(0,D15-C15)</f>
        <v/>
      </c>
      <c r="G15" s="62">
        <f>IF(B15&gt;0,C15/B15,0)</f>
        <v/>
      </c>
      <c r="H15" s="99" t="inlineStr"/>
      <c r="I15" s="99" t="inlineStr"/>
    </row>
    <row r="16" ht="22" customHeight="1">
      <c r="A16" s="54" t="inlineStr">
        <is>
          <t>3.5</t>
        </is>
      </c>
      <c r="B16" s="39">
        <f>COUNTIFS(Agenda!K:K,"3.5",Agenda!C:C,"&gt;="&amp;TODAY()-7,Agenda!C:C,"&lt;="&amp;TODAY())</f>
        <v/>
      </c>
      <c r="C16" s="40">
        <f>SUMIFS(Agenda!N:N,Agenda!K:K,"3.5",Agenda!C:C,"&gt;="&amp;TODAY()-7,Agenda!C:C,"&lt;="&amp;TODAY())</f>
        <v/>
      </c>
      <c r="D16" s="89" t="n">
        <v>3520</v>
      </c>
      <c r="E16" s="42">
        <f>IF(D16&gt;0,C16/D16*100,0)</f>
        <v/>
      </c>
      <c r="F16" s="50">
        <f>MAX(0,D16-C16)</f>
        <v/>
      </c>
      <c r="G16" s="74">
        <f>IF(B16&gt;0,C16/B16,0)</f>
        <v/>
      </c>
      <c r="H16" s="99" t="inlineStr"/>
      <c r="I16" s="99" t="inlineStr"/>
    </row>
    <row r="18" ht="28" customHeight="1">
      <c r="A18" s="87" t="inlineStr">
        <is>
          <t>EXPEDIENTE TÉCNICO DE UNIDADES</t>
        </is>
      </c>
    </row>
    <row r="19" ht="22" customHeight="1">
      <c r="A19" s="52" t="inlineStr">
        <is>
          <t>Datos técnicos · Documentación · Kilometraje · Alertas</t>
        </is>
      </c>
    </row>
    <row r="20" ht="26" customHeight="1">
      <c r="A20" s="100" t="inlineStr">
        <is>
          <t>CAMPO</t>
        </is>
      </c>
      <c r="B20" s="19" t="inlineStr">
        <is>
          <t>Pick Up</t>
        </is>
      </c>
      <c r="C20" s="19" t="inlineStr">
        <is>
          <t>1.5 Cerrada</t>
        </is>
      </c>
      <c r="D20" s="19" t="inlineStr">
        <is>
          <t>2.5</t>
        </is>
      </c>
      <c r="E20" s="19" t="inlineStr">
        <is>
          <t>3.5</t>
        </is>
      </c>
      <c r="F20" s="101" t="inlineStr">
        <is>
          <t>ALERTA</t>
        </is>
      </c>
    </row>
    <row r="21" ht="20" customHeight="1">
      <c r="A21" s="102" t="inlineStr">
        <is>
          <t>Fecha de compra</t>
        </is>
      </c>
      <c r="B21" s="56" t="n"/>
      <c r="C21" s="56" t="n"/>
      <c r="D21" s="56" t="n"/>
      <c r="E21" s="56" t="n"/>
      <c r="F21" s="103" t="n"/>
    </row>
    <row r="22" ht="20" customHeight="1">
      <c r="A22" s="102" t="inlineStr">
        <is>
          <t>Valor de compra $</t>
        </is>
      </c>
      <c r="B22" s="43" t="n"/>
      <c r="C22" s="43" t="n"/>
      <c r="D22" s="43" t="n"/>
      <c r="E22" s="43" t="n"/>
      <c r="F22" s="104" t="n"/>
    </row>
    <row r="23" ht="20" customHeight="1">
      <c r="A23" s="102" t="inlineStr">
        <is>
          <t>Kilometraje inicial</t>
        </is>
      </c>
      <c r="B23" s="105" t="n"/>
      <c r="C23" s="105" t="n"/>
      <c r="D23" s="105" t="n"/>
      <c r="E23" s="105" t="n"/>
      <c r="F23" s="103" t="n"/>
    </row>
    <row r="24" ht="20" customHeight="1">
      <c r="A24" s="102" t="inlineStr">
        <is>
          <t>Kilometraje actual</t>
        </is>
      </c>
      <c r="B24" s="106" t="n"/>
      <c r="C24" s="106" t="n"/>
      <c r="D24" s="106" t="n"/>
      <c r="E24" s="106" t="n"/>
      <c r="F24" s="104" t="n"/>
    </row>
    <row r="25" ht="20" customHeight="1">
      <c r="A25" s="102" t="inlineStr">
        <is>
          <t>KM recorridos</t>
        </is>
      </c>
      <c r="B25" s="107">
        <f>IF(AND(B23&lt;&gt;"",B24&lt;&gt;""),B24-B23,"")</f>
        <v/>
      </c>
      <c r="C25" s="107">
        <f>IF(AND(C23&lt;&gt;"",C24&lt;&gt;""),C24-C23,"")</f>
        <v/>
      </c>
      <c r="D25" s="107">
        <f>IF(AND(D23&lt;&gt;"",D24&lt;&gt;""),D24-D23,"")</f>
        <v/>
      </c>
      <c r="E25" s="107">
        <f>IF(AND(E23&lt;&gt;"",E24&lt;&gt;""),E24-E23,"")</f>
        <v/>
      </c>
      <c r="F25" s="103" t="n"/>
    </row>
    <row r="26" ht="20" customHeight="1">
      <c r="A26" s="102" t="inlineStr">
        <is>
          <t>Vida útil objetivo</t>
        </is>
      </c>
      <c r="B26" s="106" t="n">
        <v>300000</v>
      </c>
      <c r="C26" s="106" t="n">
        <v>300000</v>
      </c>
      <c r="D26" s="106" t="n">
        <v>300000</v>
      </c>
      <c r="E26" s="106" t="n">
        <v>300000</v>
      </c>
      <c r="F26" s="104" t="n"/>
    </row>
    <row r="27" ht="20" customHeight="1">
      <c r="A27" s="102" t="inlineStr">
        <is>
          <t>% vida útil consumida</t>
        </is>
      </c>
      <c r="B27" s="108">
        <f>IF(B25&lt;&gt;"",IFERROR(B25/B26*100,0),"")</f>
        <v/>
      </c>
      <c r="C27" s="108">
        <f>IF(C25&lt;&gt;"",IFERROR(C25/C26*100,0),"")</f>
        <v/>
      </c>
      <c r="D27" s="108">
        <f>IF(D25&lt;&gt;"",IFERROR(D25/D26*100,0),"")</f>
        <v/>
      </c>
      <c r="E27" s="108">
        <f>IF(E25&lt;&gt;"",IFERROR(E25/E26*100,0),"")</f>
        <v/>
      </c>
      <c r="F27" s="109">
        <f>IF(MAX(B27:E27)&gt;=90,"🔴 CAMBIAR",IF(MAX(B27:E27)&gt;=70,"⚠️ Revisar","✅ OK"))</f>
        <v/>
      </c>
    </row>
    <row r="28" ht="20" customHeight="1">
      <c r="A28" s="102" t="inlineStr">
        <is>
          <t>KM restantes</t>
        </is>
      </c>
      <c r="B28" s="107">
        <f>IF(B25&lt;&gt;"",IFERROR(B26-B25,0),"")</f>
        <v/>
      </c>
      <c r="C28" s="107">
        <f>IF(C25&lt;&gt;"",IFERROR(C26-C25,0),"")</f>
        <v/>
      </c>
      <c r="D28" s="107">
        <f>IF(D25&lt;&gt;"",IFERROR(D26-D25,0),"")</f>
        <v/>
      </c>
      <c r="E28" s="107">
        <f>IF(E25&lt;&gt;"",IFERROR(E26-E25,0),"")</f>
        <v/>
      </c>
      <c r="F28" s="104" t="n"/>
    </row>
    <row r="29" ht="20" customHeight="1">
      <c r="A29" s="102" t="inlineStr">
        <is>
          <t>Fecha próximo servicio</t>
        </is>
      </c>
      <c r="B29" s="56" t="n"/>
      <c r="C29" s="56" t="n"/>
      <c r="D29" s="56" t="n"/>
      <c r="E29" s="56" t="n"/>
      <c r="F29" s="103" t="n"/>
    </row>
    <row r="30" ht="20" customHeight="1">
      <c r="A30" s="102" t="inlineStr">
        <is>
          <t>KM para próx. servicio</t>
        </is>
      </c>
      <c r="B30" s="106" t="n"/>
      <c r="C30" s="106" t="n"/>
      <c r="D30" s="106" t="n"/>
      <c r="E30" s="106" t="n"/>
      <c r="F30" s="104" t="n"/>
    </row>
    <row r="31" ht="20" customHeight="1">
      <c r="A31" s="102" t="inlineStr">
        <is>
          <t>Próx. cambio de llantas</t>
        </is>
      </c>
      <c r="B31" s="56" t="n"/>
      <c r="C31" s="56" t="n"/>
      <c r="D31" s="56" t="n"/>
      <c r="E31" s="56" t="n"/>
      <c r="F31" s="103" t="n"/>
    </row>
    <row r="32" ht="20" customHeight="1">
      <c r="A32" s="102" t="inlineStr">
        <is>
          <t>Vencimiento seguro</t>
        </is>
      </c>
      <c r="B32" s="68" t="n"/>
      <c r="C32" s="68" t="n"/>
      <c r="D32" s="68" t="n"/>
      <c r="E32" s="68" t="n"/>
      <c r="F32" s="110">
        <f>IF(MIN(IF(B32:E32&lt;&gt;"",B32:E32,99999))-TODAY()&lt;=30,"🔴 Vence pronto","✅ OK")</f>
        <v/>
      </c>
    </row>
    <row r="33" ht="20" customHeight="1">
      <c r="A33" s="102" t="inlineStr">
        <is>
          <t>Próxima verificación</t>
        </is>
      </c>
      <c r="B33" s="56" t="n"/>
      <c r="C33" s="56" t="n"/>
      <c r="D33" s="56" t="n"/>
      <c r="E33" s="56" t="n"/>
      <c r="F33" s="111">
        <f>IF(MIN(IF(B33:E33&lt;&gt;"",B33:E33,99999))-TODAY()&lt;=30,"🔴 Vence pronto","✅ OK")</f>
        <v/>
      </c>
    </row>
    <row r="34" ht="20" customHeight="1">
      <c r="A34" s="102" t="inlineStr">
        <is>
          <t>Vencimiento tenencia</t>
        </is>
      </c>
      <c r="B34" s="68" t="n"/>
      <c r="C34" s="68" t="n"/>
      <c r="D34" s="68" t="n"/>
      <c r="E34" s="68" t="n"/>
      <c r="F34" s="110">
        <f>IF(MIN(IF(B34:E34&lt;&gt;"",B34:E34,99999))-TODAY()&lt;=30,"🔴 Vence pronto","✅ OK")</f>
        <v/>
      </c>
    </row>
    <row r="35" ht="20" customHeight="1">
      <c r="A35" s="102" t="inlineStr">
        <is>
          <t>GPS instalado</t>
        </is>
      </c>
      <c r="B35" s="59" t="n"/>
      <c r="C35" s="59" t="n"/>
      <c r="D35" s="59" t="n"/>
      <c r="E35" s="59" t="n"/>
      <c r="F35" s="103" t="n"/>
    </row>
    <row r="36" ht="20" customHeight="1">
      <c r="A36" s="102" t="inlineStr">
        <is>
          <t>Observaciones unidad</t>
        </is>
      </c>
      <c r="B36" s="71" t="n"/>
      <c r="C36" s="71" t="n"/>
      <c r="D36" s="71" t="n"/>
      <c r="E36" s="71" t="n"/>
      <c r="F36" s="104" t="n"/>
    </row>
    <row r="38" ht="28" customHeight="1">
      <c r="A38" s="112" t="inlineStr">
        <is>
          <t>INDICADORES POR UNIDAD (Acumulado)</t>
        </is>
      </c>
    </row>
    <row r="39" ht="26" customHeight="1">
      <c r="A39" s="78" t="inlineStr">
        <is>
          <t>INDICADOR</t>
        </is>
      </c>
      <c r="B39" s="49" t="inlineStr">
        <is>
          <t>Pick Up</t>
        </is>
      </c>
      <c r="C39" s="49" t="inlineStr">
        <is>
          <t>1.5 Cerrada</t>
        </is>
      </c>
      <c r="D39" s="49" t="inlineStr">
        <is>
          <t>2.5</t>
        </is>
      </c>
      <c r="E39" s="49" t="inlineStr">
        <is>
          <t>3.5</t>
        </is>
      </c>
      <c r="F39" s="99" t="n"/>
    </row>
    <row r="40" ht="20" customHeight="1">
      <c r="A40" s="102" t="inlineStr">
        <is>
          <t>Ventas acumuladas</t>
        </is>
      </c>
      <c r="B40" s="28">
        <f>SUMIF(Agenda!K:K,"Pick Up",Agenda!N:N)</f>
        <v/>
      </c>
      <c r="C40" s="28">
        <f>SUMIF(Agenda!K:K,"1.5 Cerrada",Agenda!N:N)</f>
        <v/>
      </c>
      <c r="D40" s="28">
        <f>SUMIF(Agenda!K:K,"2.5",Agenda!N:N)</f>
        <v/>
      </c>
      <c r="E40" s="28">
        <f>SUMIF(Agenda!K:K,"3.5",Agenda!N:N)</f>
        <v/>
      </c>
      <c r="F40" s="103" t="n"/>
    </row>
    <row r="41" ht="20" customHeight="1">
      <c r="A41" s="102" t="inlineStr">
        <is>
          <t>Costos acumulados</t>
        </is>
      </c>
      <c r="B41" s="50">
        <f>SUMIF(Costos!C:C,"Pick Up",Costos!P:P)</f>
        <v/>
      </c>
      <c r="C41" s="50">
        <f>SUMIF(Costos!C:C,"1.5 Cerrada",Costos!P:P)</f>
        <v/>
      </c>
      <c r="D41" s="50">
        <f>SUMIF(Costos!C:C,"2.5",Costos!P:P)</f>
        <v/>
      </c>
      <c r="E41" s="50">
        <f>SUMIF(Costos!C:C,"3.5",Costos!P:P)</f>
        <v/>
      </c>
      <c r="F41" s="104" t="n"/>
    </row>
    <row r="42" ht="20" customHeight="1">
      <c r="A42" s="102" t="inlineStr">
        <is>
          <t>Utilidad acumulada</t>
        </is>
      </c>
      <c r="B42" s="28">
        <f>SUMIF(Agenda!K:K,"Pick Up",Agenda!N:N)-SUMIF(Costos!C:C,"Pick Up",Costos!P:P)</f>
        <v/>
      </c>
      <c r="C42" s="28">
        <f>SUMIF(Agenda!K:K,"1.5 Cerrada",Agenda!N:N)-SUMIF(Costos!C:C,"1.5 Cerrada",Costos!P:P)</f>
        <v/>
      </c>
      <c r="D42" s="28">
        <f>SUMIF(Agenda!K:K,"2.5",Agenda!N:N)-SUMIF(Costos!C:C,"2.5",Costos!P:P)</f>
        <v/>
      </c>
      <c r="E42" s="28">
        <f>SUMIF(Agenda!K:K,"3.5",Agenda!N:N)-SUMIF(Costos!C:C,"3.5",Costos!P:P)</f>
        <v/>
      </c>
      <c r="F42" s="103" t="n"/>
    </row>
    <row r="43" ht="20" customHeight="1">
      <c r="A43" s="102" t="inlineStr">
        <is>
          <t>Servicios realizados</t>
        </is>
      </c>
      <c r="B43" s="113">
        <f>COUNTIF(Agenda!K:K,"Pick Up")</f>
        <v/>
      </c>
      <c r="C43" s="113">
        <f>COUNTIF(Agenda!K:K,"1.5 Cerrada")</f>
        <v/>
      </c>
      <c r="D43" s="113">
        <f>COUNTIF(Agenda!K:K,"2.5")</f>
        <v/>
      </c>
      <c r="E43" s="113">
        <f>COUNTIF(Agenda!K:K,"3.5")</f>
        <v/>
      </c>
      <c r="F43" s="104" t="n"/>
    </row>
    <row r="44" ht="20" customHeight="1">
      <c r="A44" s="102" t="inlineStr">
        <is>
          <t>Promedio por servicio $</t>
        </is>
      </c>
      <c r="B44" s="114">
        <f>IF(B43&gt;0,B40/B43,0)</f>
        <v/>
      </c>
      <c r="C44" s="114">
        <f>IF(C43&gt;0,C40/C43,0)</f>
        <v/>
      </c>
      <c r="D44" s="114">
        <f>IF(D43&gt;0,D40/D43,0)</f>
        <v/>
      </c>
      <c r="E44" s="114">
        <f>IF(E43&gt;0,E40/E43,0)</f>
        <v/>
      </c>
      <c r="F44" s="103" t="n"/>
    </row>
    <row r="45" ht="20" customHeight="1">
      <c r="A45" s="102" t="inlineStr">
        <is>
          <t>Ingreso por km $</t>
        </is>
      </c>
      <c r="B45" s="115">
        <f>IF(B25&lt;&gt;"",IFERROR(B40/B25,0),0)</f>
        <v/>
      </c>
      <c r="C45" s="115">
        <f>IF(C25&lt;&gt;"",IFERROR(C40/C25,0),0)</f>
        <v/>
      </c>
      <c r="D45" s="115">
        <f>IF(D25&lt;&gt;"",IFERROR(D40/D25,0),0)</f>
        <v/>
      </c>
      <c r="E45" s="115">
        <f>IF(E25&lt;&gt;"",IFERROR(E40/E25,0),0)</f>
        <v/>
      </c>
      <c r="F45" s="104" t="n"/>
    </row>
    <row r="46" ht="20" customHeight="1">
      <c r="A46" s="102" t="inlineStr">
        <is>
          <t>Costo por km real $</t>
        </is>
      </c>
      <c r="B46" s="50">
        <f>IF(B25&lt;&gt;"",IFERROR(B41/B25,0),0)</f>
        <v/>
      </c>
      <c r="C46" s="50">
        <f>IF(C25&lt;&gt;"",IFERROR(C41/C25,0),0)</f>
        <v/>
      </c>
      <c r="D46" s="50">
        <f>IF(D25&lt;&gt;"",IFERROR(D41/D25,0),0)</f>
        <v/>
      </c>
      <c r="E46" s="50">
        <f>IF(E25&lt;&gt;"",IFERROR(E41/E25,0),0)</f>
        <v/>
      </c>
      <c r="F46" s="103" t="n"/>
    </row>
    <row r="47" ht="20" customHeight="1">
      <c r="A47" s="102" t="inlineStr">
        <is>
          <t>Utilidad por km $</t>
        </is>
      </c>
      <c r="B47" s="116">
        <f>IF(B25&lt;&gt;"",IFERROR(B42/B25,0),0)</f>
        <v/>
      </c>
      <c r="C47" s="116">
        <f>IF(C25&lt;&gt;"",IFERROR(C42/C25,0),0)</f>
        <v/>
      </c>
      <c r="D47" s="116">
        <f>IF(D25&lt;&gt;"",IFERROR(D42/D25,0),0)</f>
        <v/>
      </c>
      <c r="E47" s="116">
        <f>IF(E25&lt;&gt;"",IFERROR(E42/E25,0),0)</f>
        <v/>
      </c>
      <c r="F47" s="104" t="n"/>
    </row>
    <row r="48" ht="20" customHeight="1">
      <c r="A48" s="102" t="inlineStr">
        <is>
          <t>Meta mensual $</t>
        </is>
      </c>
      <c r="B48" s="23" t="n">
        <v>24250</v>
      </c>
      <c r="C48" s="23" t="n">
        <v>28450</v>
      </c>
      <c r="D48" s="23" t="n">
        <v>31250</v>
      </c>
      <c r="E48" s="23" t="n">
        <v>15250</v>
      </c>
      <c r="F48" s="103" t="n"/>
    </row>
    <row r="49" ht="20" customHeight="1">
      <c r="A49" s="102" t="inlineStr">
        <is>
          <t>Meta semanal $</t>
        </is>
      </c>
      <c r="B49" s="23" t="n">
        <v>5600</v>
      </c>
      <c r="C49" s="23" t="n">
        <v>6570</v>
      </c>
      <c r="D49" s="23" t="n">
        <v>7220</v>
      </c>
      <c r="E49" s="23" t="n">
        <v>3520</v>
      </c>
      <c r="F49" s="104" t="n"/>
    </row>
    <row r="50" ht="20" customHeight="1">
      <c r="A50" s="102" t="inlineStr">
        <is>
          <t>% Cumplimiento mensual</t>
        </is>
      </c>
      <c r="B50" s="117">
        <f>IF(B48&gt;0,B40/B48*100,0)</f>
        <v/>
      </c>
      <c r="C50" s="117">
        <f>IF(C48&gt;0,C40/C48*100,0)</f>
        <v/>
      </c>
      <c r="D50" s="117">
        <f>IF(D48&gt;0,D40/D48*100,0)</f>
        <v/>
      </c>
      <c r="E50" s="117">
        <f>IF(E48&gt;0,E40/E48*100,0)</f>
        <v/>
      </c>
      <c r="F50" s="103" t="n"/>
    </row>
    <row r="52" ht="28" customHeight="1">
      <c r="A52" s="118" t="inlineStr">
        <is>
          <t>OCUPACIÓN DE UNIDADES</t>
        </is>
      </c>
    </row>
    <row r="53" ht="26" customHeight="1">
      <c r="A53" s="100" t="inlineStr">
        <is>
          <t>INDICADOR</t>
        </is>
      </c>
      <c r="B53" s="119" t="inlineStr">
        <is>
          <t>Pick Up</t>
        </is>
      </c>
      <c r="C53" s="119" t="inlineStr">
        <is>
          <t>1.5 Cerrada</t>
        </is>
      </c>
      <c r="D53" s="119" t="inlineStr">
        <is>
          <t>2.5</t>
        </is>
      </c>
      <c r="E53" s="119" t="inlineStr">
        <is>
          <t>3.5</t>
        </is>
      </c>
      <c r="F53" s="99" t="n"/>
    </row>
    <row r="54" ht="20" customHeight="1">
      <c r="A54" s="102" t="inlineStr">
        <is>
          <t>Días trabajados (mes)</t>
        </is>
      </c>
      <c r="B54" s="113">
        <f>COUNTIFS(Agenda!K:K,"Pick Up",Agenda!Q:Q,"Terminado",Agenda!C:C,"&gt;="&amp;DATE(YEAR(TODAY()),MONTH(TODAY()),1),Agenda!C:C,"&lt;="&amp;EOMONTH(TODAY(),0))</f>
        <v/>
      </c>
      <c r="C54" s="113">
        <f>COUNTIFS(Agenda!K:K,"1.5 Cerrada",Agenda!Q:Q,"Terminado",Agenda!C:C,"&gt;="&amp;DATE(YEAR(TODAY()),MONTH(TODAY()),1),Agenda!C:C,"&lt;="&amp;EOMONTH(TODAY(),0))</f>
        <v/>
      </c>
      <c r="D54" s="113">
        <f>COUNTIFS(Agenda!K:K,"2.5",Agenda!Q:Q,"Terminado",Agenda!C:C,"&gt;="&amp;DATE(YEAR(TODAY()),MONTH(TODAY()),1),Agenda!C:C,"&lt;="&amp;EOMONTH(TODAY(),0))</f>
        <v/>
      </c>
      <c r="E54" s="113">
        <f>COUNTIFS(Agenda!K:K,"3.5",Agenda!Q:Q,"Terminado",Agenda!C:C,"&gt;="&amp;DATE(YEAR(TODAY()),MONTH(TODAY()),1),Agenda!C:C,"&lt;="&amp;EOMONTH(TODAY(),0))</f>
        <v/>
      </c>
      <c r="F54" s="103" t="n"/>
    </row>
    <row r="55" ht="20" customHeight="1">
      <c r="A55" s="102" t="inlineStr">
        <is>
          <t>Días del mes</t>
        </is>
      </c>
      <c r="B55" s="120">
        <f>DAY(EOMONTH(TODAY(),0))</f>
        <v/>
      </c>
      <c r="C55" s="120">
        <f>DAY(EOMONTH(TODAY(),0))</f>
        <v/>
      </c>
      <c r="D55" s="120">
        <f>DAY(EOMONTH(TODAY(),0))</f>
        <v/>
      </c>
      <c r="E55" s="120">
        <f>DAY(EOMONTH(TODAY(),0))</f>
        <v/>
      </c>
      <c r="F55" s="104" t="n"/>
    </row>
    <row r="56" ht="20" customHeight="1">
      <c r="A56" s="102" t="inlineStr">
        <is>
          <t>% Ocupación mensual</t>
        </is>
      </c>
      <c r="B56" s="121">
        <f>IF(B55&gt;0,B54/B55*100,0)</f>
        <v/>
      </c>
      <c r="C56" s="121">
        <f>IF(C55&gt;0,C54/C55*100,0)</f>
        <v/>
      </c>
      <c r="D56" s="121">
        <f>IF(D55&gt;0,D54/D55*100,0)</f>
        <v/>
      </c>
      <c r="E56" s="121">
        <f>IF(E55&gt;0,E54/E55*100,0)</f>
        <v/>
      </c>
      <c r="F56" s="103" t="n"/>
    </row>
    <row r="57" ht="20" customHeight="1">
      <c r="A57" s="102" t="inlineStr">
        <is>
          <t>Servicios esta semana</t>
        </is>
      </c>
      <c r="B57" s="113">
        <f>COUNTIFS(Agenda!K:K,"Pick Up",Agenda!C:C,"&gt;="&amp;TODAY()-7,Agenda!C:C,"&lt;="&amp;TODAY())</f>
        <v/>
      </c>
      <c r="C57" s="113">
        <f>COUNTIFS(Agenda!K:K,"1.5 Cerrada",Agenda!C:C,"&gt;="&amp;TODAY()-7,Agenda!C:C,"&lt;="&amp;TODAY())</f>
        <v/>
      </c>
      <c r="D57" s="113">
        <f>COUNTIFS(Agenda!K:K,"2.5",Agenda!C:C,"&gt;="&amp;TODAY()-7,Agenda!C:C,"&lt;="&amp;TODAY())</f>
        <v/>
      </c>
      <c r="E57" s="113">
        <f>COUNTIFS(Agenda!K:K,"3.5",Agenda!C:C,"&gt;="&amp;TODAY()-7,Agenda!C:C,"&lt;="&amp;TODAY())</f>
        <v/>
      </c>
      <c r="F57" s="104" t="n"/>
    </row>
    <row r="58" ht="20" customHeight="1">
      <c r="A58" s="102" t="inlineStr">
        <is>
          <t>Servicios terminados total</t>
        </is>
      </c>
      <c r="B58" s="122">
        <f>COUNTIFS(Agenda!K:K,"Pick Up",Agenda!Q:Q,"Terminado")</f>
        <v/>
      </c>
      <c r="C58" s="122">
        <f>COUNTIFS(Agenda!K:K,"1.5 Cerrada",Agenda!Q:Q,"Terminado")</f>
        <v/>
      </c>
      <c r="D58" s="122">
        <f>COUNTIFS(Agenda!K:K,"2.5",Agenda!Q:Q,"Terminado")</f>
        <v/>
      </c>
      <c r="E58" s="122">
        <f>COUNTIFS(Agenda!K:K,"3.5",Agenda!Q:Q,"Terminado")</f>
        <v/>
      </c>
      <c r="F58" s="103" t="n"/>
    </row>
    <row r="59" ht="20" customHeight="1">
      <c r="A59" s="102" t="inlineStr">
        <is>
          <t>Servicios cancelados total</t>
        </is>
      </c>
      <c r="B59" s="123">
        <f>COUNTIFS(Agenda!K:K,"Pick Up",Agenda!Q:Q,"Cancelado")</f>
        <v/>
      </c>
      <c r="C59" s="123">
        <f>COUNTIFS(Agenda!K:K,"1.5 Cerrada",Agenda!Q:Q,"Cancelado")</f>
        <v/>
      </c>
      <c r="D59" s="123">
        <f>COUNTIFS(Agenda!K:K,"2.5",Agenda!Q:Q,"Cancelado")</f>
        <v/>
      </c>
      <c r="E59" s="123">
        <f>COUNTIFS(Agenda!K:K,"3.5",Agenda!Q:Q,"Cancelado")</f>
        <v/>
      </c>
      <c r="F59" s="104" t="n"/>
    </row>
    <row r="60" ht="20" customHeight="1">
      <c r="A60" s="102" t="inlineStr">
        <is>
          <t>Prom. servicios/semana</t>
        </is>
      </c>
      <c r="B60" s="124">
        <f>IFERROR(B58/IFERROR(DATEDIF(MINIFS(Agenda!C:C,Agenda!K:K,"Pick Up"),TODAY(),"W"),1),0)</f>
        <v/>
      </c>
      <c r="C60" s="124">
        <f>IFERROR(C58/IFERROR(DATEDIF(MINIFS(Agenda!C:C,Agenda!K:K,"1.5 Cerrada"),TODAY(),"W"),1),0)</f>
        <v/>
      </c>
      <c r="D60" s="124">
        <f>IFERROR(D58/IFERROR(DATEDIF(MINIFS(Agenda!C:C,Agenda!K:K,"2.5"),TODAY(),"W"),1),0)</f>
        <v/>
      </c>
      <c r="E60" s="124">
        <f>IFERROR(E58/IFERROR(DATEDIF(MINIFS(Agenda!C:C,Agenda!K:K,"3.5"),TODAY(),"W"),1),0)</f>
        <v/>
      </c>
      <c r="F60" s="103" t="n"/>
    </row>
  </sheetData>
  <mergeCells count="9">
    <mergeCell ref="A38:F38"/>
    <mergeCell ref="A52:F52"/>
    <mergeCell ref="A2:I2"/>
    <mergeCell ref="A9"/>
    <mergeCell ref="A11:I11"/>
    <mergeCell ref="A19:F19"/>
    <mergeCell ref="A1:I1"/>
    <mergeCell ref="A3:I3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24" customWidth="1" min="11" max="11"/>
    <col width="16" customWidth="1" min="12" max="12"/>
  </cols>
  <sheetData>
    <row r="1" ht="35" customHeight="1">
      <c r="A1" s="76" t="inlineStr">
        <is>
          <t>MUDANZAS METEPEC — FLUJO DE EFECTIVO</t>
        </is>
      </c>
    </row>
    <row r="2" ht="22" customHeight="1">
      <c r="A2" s="77" t="inlineStr">
        <is>
          <t>Cada movimiento de dinero: entradas · salidas · saldo acumulado</t>
        </is>
      </c>
    </row>
    <row r="3" ht="30" customHeight="1">
      <c r="A3" s="78" t="inlineStr">
        <is>
          <t>FECHA</t>
        </is>
      </c>
      <c r="B3" s="78" t="inlineStr">
        <is>
          <t>CONCEPTO</t>
        </is>
      </c>
      <c r="C3" s="78" t="inlineStr">
        <is>
          <t>ENTRADA $</t>
        </is>
      </c>
      <c r="D3" s="78" t="inlineStr">
        <is>
          <t>SALIDA $</t>
        </is>
      </c>
      <c r="E3" s="78" t="inlineStr">
        <is>
          <t>CATEGORÍA</t>
        </is>
      </c>
      <c r="F3" s="78" t="inlineStr">
        <is>
          <t>UNIDAD</t>
        </is>
      </c>
      <c r="G3" s="78" t="inlineStr">
        <is>
          <t>FOLIO</t>
        </is>
      </c>
      <c r="H3" s="78" t="inlineStr">
        <is>
          <t>MÉTODO PAGO</t>
        </is>
      </c>
      <c r="I3" s="78" t="inlineStr">
        <is>
          <t>SALDO ACUM. $</t>
        </is>
      </c>
    </row>
    <row r="4" ht="22" customHeight="1">
      <c r="A4" s="125" t="n"/>
      <c r="B4" s="126" t="inlineStr">
        <is>
          <t>SALDO INICIAL</t>
        </is>
      </c>
      <c r="C4" s="127" t="n"/>
      <c r="D4" s="127" t="n"/>
      <c r="E4" s="125" t="n"/>
      <c r="F4" s="125" t="n"/>
      <c r="G4" s="125" t="n"/>
      <c r="H4" s="125" t="n"/>
      <c r="I4" s="28">
        <f>IF(C4&lt;&gt;"",C4,0)</f>
        <v/>
      </c>
    </row>
    <row r="5" ht="18" customHeight="1">
      <c r="A5" s="68" t="n"/>
      <c r="B5" s="70" t="n"/>
      <c r="C5" s="128" t="n"/>
      <c r="D5" s="129" t="n"/>
      <c r="E5" s="71" t="n"/>
      <c r="F5" s="71" t="n"/>
      <c r="G5" s="71" t="n"/>
      <c r="H5" s="71" t="n"/>
      <c r="I5" s="28">
        <f>IF(OR(C5&lt;&gt;"",D5&lt;&gt;""),I4+IF(C5&lt;&gt;"",C5,0)-IF(D5&lt;&gt;"",D5,0),"")</f>
        <v/>
      </c>
    </row>
    <row r="6" ht="18" customHeight="1">
      <c r="A6" s="56" t="n"/>
      <c r="B6" s="58" t="n"/>
      <c r="C6" s="128" t="n"/>
      <c r="D6" s="129" t="n"/>
      <c r="E6" s="59" t="n"/>
      <c r="F6" s="59" t="n"/>
      <c r="G6" s="59" t="n"/>
      <c r="H6" s="59" t="n"/>
      <c r="I6" s="28">
        <f>IF(OR(C6&lt;&gt;"",D6&lt;&gt;""),I5+IF(C6&lt;&gt;"",C6,0)-IF(D6&lt;&gt;"",D6,0),"")</f>
        <v/>
      </c>
    </row>
    <row r="7" ht="18" customHeight="1">
      <c r="A7" s="68" t="n"/>
      <c r="B7" s="70" t="n"/>
      <c r="C7" s="128" t="n"/>
      <c r="D7" s="129" t="n"/>
      <c r="E7" s="71" t="n"/>
      <c r="F7" s="71" t="n"/>
      <c r="G7" s="71" t="n"/>
      <c r="H7" s="71" t="n"/>
      <c r="I7" s="28">
        <f>IF(OR(C7&lt;&gt;"",D7&lt;&gt;""),I6+IF(C7&lt;&gt;"",C7,0)-IF(D7&lt;&gt;"",D7,0),"")</f>
        <v/>
      </c>
    </row>
    <row r="8" ht="18" customHeight="1">
      <c r="A8" s="56" t="n"/>
      <c r="B8" s="58" t="n"/>
      <c r="C8" s="128" t="n"/>
      <c r="D8" s="129" t="n"/>
      <c r="E8" s="59" t="n"/>
      <c r="F8" s="59" t="n"/>
      <c r="G8" s="59" t="n"/>
      <c r="H8" s="59" t="n"/>
      <c r="I8" s="28">
        <f>IF(OR(C8&lt;&gt;"",D8&lt;&gt;""),I7+IF(C8&lt;&gt;"",C8,0)-IF(D8&lt;&gt;"",D8,0),"")</f>
        <v/>
      </c>
    </row>
    <row r="9" ht="18" customHeight="1">
      <c r="A9" s="68" t="n"/>
      <c r="B9" s="70" t="n"/>
      <c r="C9" s="128" t="n"/>
      <c r="D9" s="129" t="n"/>
      <c r="E9" s="71" t="n"/>
      <c r="F9" s="71" t="n"/>
      <c r="G9" s="71" t="n"/>
      <c r="H9" s="71" t="n"/>
      <c r="I9" s="28">
        <f>IF(OR(C9&lt;&gt;"",D9&lt;&gt;""),I8+IF(C9&lt;&gt;"",C9,0)-IF(D9&lt;&gt;"",D9,0),"")</f>
        <v/>
      </c>
    </row>
    <row r="10" ht="18" customHeight="1">
      <c r="A10" s="56" t="n"/>
      <c r="B10" s="58" t="n"/>
      <c r="C10" s="128" t="n"/>
      <c r="D10" s="129" t="n"/>
      <c r="E10" s="59" t="n"/>
      <c r="F10" s="59" t="n"/>
      <c r="G10" s="59" t="n"/>
      <c r="H10" s="59" t="n"/>
      <c r="I10" s="28">
        <f>IF(OR(C10&lt;&gt;"",D10&lt;&gt;""),I9+IF(C10&lt;&gt;"",C10,0)-IF(D10&lt;&gt;"",D10,0),"")</f>
        <v/>
      </c>
    </row>
    <row r="11" ht="22" customHeight="1">
      <c r="A11" s="68" t="n"/>
      <c r="B11" s="70" t="n"/>
      <c r="C11" s="128" t="n"/>
      <c r="D11" s="129" t="n"/>
      <c r="E11" s="71" t="n"/>
      <c r="F11" s="71" t="n"/>
      <c r="G11" s="71" t="n"/>
      <c r="H11" s="71" t="n"/>
      <c r="I11" s="28">
        <f>IF(OR(C11&lt;&gt;"",D11&lt;&gt;""),I10+IF(C11&lt;&gt;"",C11,0)-IF(D11&lt;&gt;"",D11,0),"")</f>
        <v/>
      </c>
      <c r="K11" s="130" t="inlineStr">
        <is>
          <t>RESUMEN FLUJO</t>
        </is>
      </c>
    </row>
    <row r="12" ht="22" customHeight="1">
      <c r="A12" s="56" t="n"/>
      <c r="B12" s="58" t="n"/>
      <c r="C12" s="128" t="n"/>
      <c r="D12" s="129" t="n"/>
      <c r="E12" s="59" t="n"/>
      <c r="F12" s="59" t="n"/>
      <c r="G12" s="59" t="n"/>
      <c r="H12" s="59" t="n"/>
      <c r="I12" s="28">
        <f>IF(OR(C12&lt;&gt;"",D12&lt;&gt;""),I11+IF(C12&lt;&gt;"",C12,0)-IF(D12&lt;&gt;"",D12,0),"")</f>
        <v/>
      </c>
      <c r="K12" s="131" t="inlineStr">
        <is>
          <t>Total Entradas</t>
        </is>
      </c>
      <c r="L12" s="116">
        <f>IFERROR(SUM(C4:C504),0)</f>
        <v/>
      </c>
    </row>
    <row r="13" ht="22" customHeight="1">
      <c r="A13" s="68" t="n"/>
      <c r="B13" s="70" t="n"/>
      <c r="C13" s="128" t="n"/>
      <c r="D13" s="129" t="n"/>
      <c r="E13" s="71" t="n"/>
      <c r="F13" s="71" t="n"/>
      <c r="G13" s="71" t="n"/>
      <c r="H13" s="71" t="n"/>
      <c r="I13" s="28">
        <f>IF(OR(C13&lt;&gt;"",D13&lt;&gt;""),I12+IF(C13&lt;&gt;"",C13,0)-IF(D13&lt;&gt;"",D13,0),"")</f>
        <v/>
      </c>
      <c r="K13" s="132" t="inlineStr">
        <is>
          <t>Total Salidas</t>
        </is>
      </c>
      <c r="L13" s="50">
        <f>IFERROR(SUM(D4:D504),0)</f>
        <v/>
      </c>
    </row>
    <row r="14" ht="22" customHeight="1">
      <c r="A14" s="56" t="n"/>
      <c r="B14" s="58" t="n"/>
      <c r="C14" s="128" t="n"/>
      <c r="D14" s="129" t="n"/>
      <c r="E14" s="59" t="n"/>
      <c r="F14" s="59" t="n"/>
      <c r="G14" s="59" t="n"/>
      <c r="H14" s="59" t="n"/>
      <c r="I14" s="28">
        <f>IF(OR(C14&lt;&gt;"",D14&lt;&gt;""),I13+IF(C14&lt;&gt;"",C14,0)-IF(D14&lt;&gt;"",D14,0),"")</f>
        <v/>
      </c>
      <c r="K14" s="126" t="inlineStr">
        <is>
          <t>Saldo Neto</t>
        </is>
      </c>
      <c r="L14" s="133">
        <f>K12-K13</f>
        <v/>
      </c>
    </row>
    <row r="15" ht="22" customHeight="1">
      <c r="A15" s="68" t="n"/>
      <c r="B15" s="70" t="n"/>
      <c r="C15" s="128" t="n"/>
      <c r="D15" s="129" t="n"/>
      <c r="E15" s="71" t="n"/>
      <c r="F15" s="71" t="n"/>
      <c r="G15" s="71" t="n"/>
      <c r="H15" s="71" t="n"/>
      <c r="I15" s="28">
        <f>IF(OR(C15&lt;&gt;"",D15&lt;&gt;""),I14+IF(C15&lt;&gt;"",C15,0)-IF(D15&lt;&gt;"",D15,0),"")</f>
        <v/>
      </c>
      <c r="K15" s="134" t="inlineStr"/>
    </row>
    <row r="16" ht="22" customHeight="1">
      <c r="A16" s="56" t="n"/>
      <c r="B16" s="58" t="n"/>
      <c r="C16" s="128" t="n"/>
      <c r="D16" s="129" t="n"/>
      <c r="E16" s="59" t="n"/>
      <c r="F16" s="59" t="n"/>
      <c r="G16" s="59" t="n"/>
      <c r="H16" s="59" t="n"/>
      <c r="I16" s="28">
        <f>IF(OR(C16&lt;&gt;"",D16&lt;&gt;""),I15+IF(C16&lt;&gt;"",C16,0)-IF(D16&lt;&gt;"",D16,0),"")</f>
        <v/>
      </c>
      <c r="K16" s="102" t="inlineStr">
        <is>
          <t>Por categoría:</t>
        </is>
      </c>
    </row>
    <row r="17" ht="22" customHeight="1">
      <c r="A17" s="68" t="n"/>
      <c r="B17" s="70" t="n"/>
      <c r="C17" s="128" t="n"/>
      <c r="D17" s="129" t="n"/>
      <c r="E17" s="71" t="n"/>
      <c r="F17" s="71" t="n"/>
      <c r="G17" s="71" t="n"/>
      <c r="H17" s="71" t="n"/>
      <c r="I17" s="28">
        <f>IF(OR(C17&lt;&gt;"",D17&lt;&gt;""),I16+IF(C17&lt;&gt;"",C17,0)-IF(D17&lt;&gt;"",D17,0),"")</f>
        <v/>
      </c>
      <c r="K17" s="131" t="inlineStr">
        <is>
          <t>Servicios</t>
        </is>
      </c>
      <c r="L17" s="116">
        <f>SUMIF(E4:E504,"Servicio",C4:C504)</f>
        <v/>
      </c>
    </row>
    <row r="18" ht="22" customHeight="1">
      <c r="A18" s="56" t="n"/>
      <c r="B18" s="58" t="n"/>
      <c r="C18" s="128" t="n"/>
      <c r="D18" s="129" t="n"/>
      <c r="E18" s="59" t="n"/>
      <c r="F18" s="59" t="n"/>
      <c r="G18" s="59" t="n"/>
      <c r="H18" s="59" t="n"/>
      <c r="I18" s="28">
        <f>IF(OR(C18&lt;&gt;"",D18&lt;&gt;""),I17+IF(C18&lt;&gt;"",C18,0)-IF(D18&lt;&gt;"",D18,0),"")</f>
        <v/>
      </c>
      <c r="K18" s="132" t="inlineStr">
        <is>
          <t>G. Operativo</t>
        </is>
      </c>
      <c r="L18" s="50">
        <f>SUMIF(E4:E504,"Gasto operativo",D4:D504)</f>
        <v/>
      </c>
    </row>
    <row r="19" ht="22" customHeight="1">
      <c r="A19" s="68" t="n"/>
      <c r="B19" s="70" t="n"/>
      <c r="C19" s="128" t="n"/>
      <c r="D19" s="129" t="n"/>
      <c r="E19" s="71" t="n"/>
      <c r="F19" s="71" t="n"/>
      <c r="G19" s="71" t="n"/>
      <c r="H19" s="71" t="n"/>
      <c r="I19" s="28">
        <f>IF(OR(C19&lt;&gt;"",D19&lt;&gt;""),I18+IF(C19&lt;&gt;"",C19,0)-IF(D19&lt;&gt;"",D19,0),"")</f>
        <v/>
      </c>
      <c r="K19" s="132" t="inlineStr">
        <is>
          <t>Nómina</t>
        </is>
      </c>
      <c r="L19" s="50">
        <f>SUMIF(E4:E504,"Nómina",D4:D504)</f>
        <v/>
      </c>
    </row>
    <row r="20" ht="22" customHeight="1">
      <c r="A20" s="56" t="n"/>
      <c r="B20" s="58" t="n"/>
      <c r="C20" s="128" t="n"/>
      <c r="D20" s="129" t="n"/>
      <c r="E20" s="59" t="n"/>
      <c r="F20" s="59" t="n"/>
      <c r="G20" s="59" t="n"/>
      <c r="H20" s="59" t="n"/>
      <c r="I20" s="28">
        <f>IF(OR(C20&lt;&gt;"",D20&lt;&gt;""),I19+IF(C20&lt;&gt;"",C20,0)-IF(D20&lt;&gt;"",D20,0),"")</f>
        <v/>
      </c>
      <c r="K20" s="135" t="inlineStr">
        <is>
          <t>Publicidad</t>
        </is>
      </c>
      <c r="L20" s="23">
        <f>SUMIF(E4:E504,"Publicidad",D4:D504)</f>
        <v/>
      </c>
    </row>
    <row r="21" ht="22" customHeight="1">
      <c r="A21" s="68" t="n"/>
      <c r="B21" s="70" t="n"/>
      <c r="C21" s="128" t="n"/>
      <c r="D21" s="129" t="n"/>
      <c r="E21" s="71" t="n"/>
      <c r="F21" s="71" t="n"/>
      <c r="G21" s="71" t="n"/>
      <c r="H21" s="71" t="n"/>
      <c r="I21" s="28">
        <f>IF(OR(C21&lt;&gt;"",D21&lt;&gt;""),I20+IF(C21&lt;&gt;"",C21,0)-IF(D21&lt;&gt;"",D21,0),"")</f>
        <v/>
      </c>
      <c r="K21" s="132" t="inlineStr">
        <is>
          <t>Mantenimiento</t>
        </is>
      </c>
      <c r="L21" s="50">
        <f>SUMIF(E4:E504,"Mantenimiento",D4:D504)</f>
        <v/>
      </c>
    </row>
    <row r="22" ht="18" customHeight="1">
      <c r="A22" s="56" t="n"/>
      <c r="B22" s="58" t="n"/>
      <c r="C22" s="128" t="n"/>
      <c r="D22" s="129" t="n"/>
      <c r="E22" s="59" t="n"/>
      <c r="F22" s="59" t="n"/>
      <c r="G22" s="59" t="n"/>
      <c r="H22" s="59" t="n"/>
      <c r="I22" s="28">
        <f>IF(OR(C22&lt;&gt;"",D22&lt;&gt;""),I21+IF(C22&lt;&gt;"",C22,0)-IF(D22&lt;&gt;"",D22,0),"")</f>
        <v/>
      </c>
    </row>
    <row r="23" ht="18" customHeight="1">
      <c r="A23" s="68" t="n"/>
      <c r="B23" s="70" t="n"/>
      <c r="C23" s="128" t="n"/>
      <c r="D23" s="129" t="n"/>
      <c r="E23" s="71" t="n"/>
      <c r="F23" s="71" t="n"/>
      <c r="G23" s="71" t="n"/>
      <c r="H23" s="71" t="n"/>
      <c r="I23" s="28">
        <f>IF(OR(C23&lt;&gt;"",D23&lt;&gt;""),I22+IF(C23&lt;&gt;"",C23,0)-IF(D23&lt;&gt;"",D23,0),"")</f>
        <v/>
      </c>
    </row>
    <row r="24" ht="18" customHeight="1">
      <c r="A24" s="56" t="n"/>
      <c r="B24" s="58" t="n"/>
      <c r="C24" s="128" t="n"/>
      <c r="D24" s="129" t="n"/>
      <c r="E24" s="59" t="n"/>
      <c r="F24" s="59" t="n"/>
      <c r="G24" s="59" t="n"/>
      <c r="H24" s="59" t="n"/>
      <c r="I24" s="28">
        <f>IF(OR(C24&lt;&gt;"",D24&lt;&gt;""),I23+IF(C24&lt;&gt;"",C24,0)-IF(D24&lt;&gt;"",D24,0),"")</f>
        <v/>
      </c>
    </row>
    <row r="25" ht="18" customHeight="1">
      <c r="A25" s="68" t="n"/>
      <c r="B25" s="70" t="n"/>
      <c r="C25" s="128" t="n"/>
      <c r="D25" s="129" t="n"/>
      <c r="E25" s="71" t="n"/>
      <c r="F25" s="71" t="n"/>
      <c r="G25" s="71" t="n"/>
      <c r="H25" s="71" t="n"/>
      <c r="I25" s="28">
        <f>IF(OR(C25&lt;&gt;"",D25&lt;&gt;""),I24+IF(C25&lt;&gt;"",C25,0)-IF(D25&lt;&gt;"",D25,0),"")</f>
        <v/>
      </c>
    </row>
    <row r="26" ht="18" customHeight="1">
      <c r="A26" s="56" t="n"/>
      <c r="B26" s="58" t="n"/>
      <c r="C26" s="128" t="n"/>
      <c r="D26" s="129" t="n"/>
      <c r="E26" s="59" t="n"/>
      <c r="F26" s="59" t="n"/>
      <c r="G26" s="59" t="n"/>
      <c r="H26" s="59" t="n"/>
      <c r="I26" s="28">
        <f>IF(OR(C26&lt;&gt;"",D26&lt;&gt;""),I25+IF(C26&lt;&gt;"",C26,0)-IF(D26&lt;&gt;"",D26,0),"")</f>
        <v/>
      </c>
    </row>
    <row r="27" ht="18" customHeight="1">
      <c r="A27" s="68" t="n"/>
      <c r="B27" s="70" t="n"/>
      <c r="C27" s="128" t="n"/>
      <c r="D27" s="129" t="n"/>
      <c r="E27" s="71" t="n"/>
      <c r="F27" s="71" t="n"/>
      <c r="G27" s="71" t="n"/>
      <c r="H27" s="71" t="n"/>
      <c r="I27" s="28">
        <f>IF(OR(C27&lt;&gt;"",D27&lt;&gt;""),I26+IF(C27&lt;&gt;"",C27,0)-IF(D27&lt;&gt;"",D27,0),"")</f>
        <v/>
      </c>
    </row>
    <row r="28" ht="18" customHeight="1">
      <c r="A28" s="56" t="n"/>
      <c r="B28" s="58" t="n"/>
      <c r="C28" s="128" t="n"/>
      <c r="D28" s="129" t="n"/>
      <c r="E28" s="59" t="n"/>
      <c r="F28" s="59" t="n"/>
      <c r="G28" s="59" t="n"/>
      <c r="H28" s="59" t="n"/>
      <c r="I28" s="28">
        <f>IF(OR(C28&lt;&gt;"",D28&lt;&gt;""),I27+IF(C28&lt;&gt;"",C28,0)-IF(D28&lt;&gt;"",D28,0),"")</f>
        <v/>
      </c>
    </row>
    <row r="29" ht="18" customHeight="1">
      <c r="A29" s="68" t="n"/>
      <c r="B29" s="70" t="n"/>
      <c r="C29" s="128" t="n"/>
      <c r="D29" s="129" t="n"/>
      <c r="E29" s="71" t="n"/>
      <c r="F29" s="71" t="n"/>
      <c r="G29" s="71" t="n"/>
      <c r="H29" s="71" t="n"/>
      <c r="I29" s="28">
        <f>IF(OR(C29&lt;&gt;"",D29&lt;&gt;""),I28+IF(C29&lt;&gt;"",C29,0)-IF(D29&lt;&gt;"",D29,0),"")</f>
        <v/>
      </c>
    </row>
    <row r="30" ht="18" customHeight="1">
      <c r="A30" s="56" t="n"/>
      <c r="B30" s="58" t="n"/>
      <c r="C30" s="128" t="n"/>
      <c r="D30" s="129" t="n"/>
      <c r="E30" s="59" t="n"/>
      <c r="F30" s="59" t="n"/>
      <c r="G30" s="59" t="n"/>
      <c r="H30" s="59" t="n"/>
      <c r="I30" s="28">
        <f>IF(OR(C30&lt;&gt;"",D30&lt;&gt;""),I29+IF(C30&lt;&gt;"",C30,0)-IF(D30&lt;&gt;"",D30,0),"")</f>
        <v/>
      </c>
    </row>
    <row r="31" ht="18" customHeight="1">
      <c r="A31" s="68" t="n"/>
      <c r="B31" s="70" t="n"/>
      <c r="C31" s="128" t="n"/>
      <c r="D31" s="129" t="n"/>
      <c r="E31" s="71" t="n"/>
      <c r="F31" s="71" t="n"/>
      <c r="G31" s="71" t="n"/>
      <c r="H31" s="71" t="n"/>
      <c r="I31" s="28">
        <f>IF(OR(C31&lt;&gt;"",D31&lt;&gt;""),I30+IF(C31&lt;&gt;"",C31,0)-IF(D31&lt;&gt;"",D31,0),"")</f>
        <v/>
      </c>
    </row>
    <row r="32" ht="18" customHeight="1">
      <c r="A32" s="56" t="n"/>
      <c r="B32" s="58" t="n"/>
      <c r="C32" s="128" t="n"/>
      <c r="D32" s="129" t="n"/>
      <c r="E32" s="59" t="n"/>
      <c r="F32" s="59" t="n"/>
      <c r="G32" s="59" t="n"/>
      <c r="H32" s="59" t="n"/>
      <c r="I32" s="28">
        <f>IF(OR(C32&lt;&gt;"",D32&lt;&gt;""),I31+IF(C32&lt;&gt;"",C32,0)-IF(D32&lt;&gt;"",D32,0),"")</f>
        <v/>
      </c>
    </row>
    <row r="33" ht="18" customHeight="1">
      <c r="A33" s="68" t="n"/>
      <c r="B33" s="70" t="n"/>
      <c r="C33" s="128" t="n"/>
      <c r="D33" s="129" t="n"/>
      <c r="E33" s="71" t="n"/>
      <c r="F33" s="71" t="n"/>
      <c r="G33" s="71" t="n"/>
      <c r="H33" s="71" t="n"/>
      <c r="I33" s="28">
        <f>IF(OR(C33&lt;&gt;"",D33&lt;&gt;""),I32+IF(C33&lt;&gt;"",C33,0)-IF(D33&lt;&gt;"",D33,0),"")</f>
        <v/>
      </c>
    </row>
    <row r="34" ht="18" customHeight="1">
      <c r="A34" s="56" t="n"/>
      <c r="B34" s="58" t="n"/>
      <c r="C34" s="128" t="n"/>
      <c r="D34" s="129" t="n"/>
      <c r="E34" s="59" t="n"/>
      <c r="F34" s="59" t="n"/>
      <c r="G34" s="59" t="n"/>
      <c r="H34" s="59" t="n"/>
      <c r="I34" s="28">
        <f>IF(OR(C34&lt;&gt;"",D34&lt;&gt;""),I33+IF(C34&lt;&gt;"",C34,0)-IF(D34&lt;&gt;"",D34,0),"")</f>
        <v/>
      </c>
    </row>
    <row r="35" ht="18" customHeight="1">
      <c r="A35" s="68" t="n"/>
      <c r="B35" s="70" t="n"/>
      <c r="C35" s="128" t="n"/>
      <c r="D35" s="129" t="n"/>
      <c r="E35" s="71" t="n"/>
      <c r="F35" s="71" t="n"/>
      <c r="G35" s="71" t="n"/>
      <c r="H35" s="71" t="n"/>
      <c r="I35" s="28">
        <f>IF(OR(C35&lt;&gt;"",D35&lt;&gt;""),I34+IF(C35&lt;&gt;"",C35,0)-IF(D35&lt;&gt;"",D35,0),"")</f>
        <v/>
      </c>
    </row>
    <row r="36" ht="18" customHeight="1">
      <c r="A36" s="56" t="n"/>
      <c r="B36" s="58" t="n"/>
      <c r="C36" s="128" t="n"/>
      <c r="D36" s="129" t="n"/>
      <c r="E36" s="59" t="n"/>
      <c r="F36" s="59" t="n"/>
      <c r="G36" s="59" t="n"/>
      <c r="H36" s="59" t="n"/>
      <c r="I36" s="28">
        <f>IF(OR(C36&lt;&gt;"",D36&lt;&gt;""),I35+IF(C36&lt;&gt;"",C36,0)-IF(D36&lt;&gt;"",D36,0),"")</f>
        <v/>
      </c>
    </row>
    <row r="37" ht="18" customHeight="1">
      <c r="A37" s="68" t="n"/>
      <c r="B37" s="70" t="n"/>
      <c r="C37" s="128" t="n"/>
      <c r="D37" s="129" t="n"/>
      <c r="E37" s="71" t="n"/>
      <c r="F37" s="71" t="n"/>
      <c r="G37" s="71" t="n"/>
      <c r="H37" s="71" t="n"/>
      <c r="I37" s="28">
        <f>IF(OR(C37&lt;&gt;"",D37&lt;&gt;""),I36+IF(C37&lt;&gt;"",C37,0)-IF(D37&lt;&gt;"",D37,0),"")</f>
        <v/>
      </c>
    </row>
    <row r="38" ht="18" customHeight="1">
      <c r="A38" s="56" t="n"/>
      <c r="B38" s="58" t="n"/>
      <c r="C38" s="128" t="n"/>
      <c r="D38" s="129" t="n"/>
      <c r="E38" s="59" t="n"/>
      <c r="F38" s="59" t="n"/>
      <c r="G38" s="59" t="n"/>
      <c r="H38" s="59" t="n"/>
      <c r="I38" s="28">
        <f>IF(OR(C38&lt;&gt;"",D38&lt;&gt;""),I37+IF(C38&lt;&gt;"",C38,0)-IF(D38&lt;&gt;"",D38,0),"")</f>
        <v/>
      </c>
    </row>
    <row r="39" ht="18" customHeight="1">
      <c r="A39" s="68" t="n"/>
      <c r="B39" s="70" t="n"/>
      <c r="C39" s="128" t="n"/>
      <c r="D39" s="129" t="n"/>
      <c r="E39" s="71" t="n"/>
      <c r="F39" s="71" t="n"/>
      <c r="G39" s="71" t="n"/>
      <c r="H39" s="71" t="n"/>
      <c r="I39" s="28">
        <f>IF(OR(C39&lt;&gt;"",D39&lt;&gt;""),I38+IF(C39&lt;&gt;"",C39,0)-IF(D39&lt;&gt;"",D39,0),"")</f>
        <v/>
      </c>
    </row>
    <row r="40" ht="18" customHeight="1">
      <c r="A40" s="56" t="n"/>
      <c r="B40" s="58" t="n"/>
      <c r="C40" s="128" t="n"/>
      <c r="D40" s="129" t="n"/>
      <c r="E40" s="59" t="n"/>
      <c r="F40" s="59" t="n"/>
      <c r="G40" s="59" t="n"/>
      <c r="H40" s="59" t="n"/>
      <c r="I40" s="28">
        <f>IF(OR(C40&lt;&gt;"",D40&lt;&gt;""),I39+IF(C40&lt;&gt;"",C40,0)-IF(D40&lt;&gt;"",D40,0),"")</f>
        <v/>
      </c>
    </row>
    <row r="41" ht="18" customHeight="1">
      <c r="A41" s="68" t="n"/>
      <c r="B41" s="70" t="n"/>
      <c r="C41" s="128" t="n"/>
      <c r="D41" s="129" t="n"/>
      <c r="E41" s="71" t="n"/>
      <c r="F41" s="71" t="n"/>
      <c r="G41" s="71" t="n"/>
      <c r="H41" s="71" t="n"/>
      <c r="I41" s="28">
        <f>IF(OR(C41&lt;&gt;"",D41&lt;&gt;""),I40+IF(C41&lt;&gt;"",C41,0)-IF(D41&lt;&gt;"",D41,0),"")</f>
        <v/>
      </c>
    </row>
    <row r="42" ht="18" customHeight="1">
      <c r="A42" s="56" t="n"/>
      <c r="B42" s="58" t="n"/>
      <c r="C42" s="128" t="n"/>
      <c r="D42" s="129" t="n"/>
      <c r="E42" s="59" t="n"/>
      <c r="F42" s="59" t="n"/>
      <c r="G42" s="59" t="n"/>
      <c r="H42" s="59" t="n"/>
      <c r="I42" s="28">
        <f>IF(OR(C42&lt;&gt;"",D42&lt;&gt;""),I41+IF(C42&lt;&gt;"",C42,0)-IF(D42&lt;&gt;"",D42,0),"")</f>
        <v/>
      </c>
    </row>
    <row r="43" ht="18" customHeight="1">
      <c r="A43" s="68" t="n"/>
      <c r="B43" s="70" t="n"/>
      <c r="C43" s="128" t="n"/>
      <c r="D43" s="129" t="n"/>
      <c r="E43" s="71" t="n"/>
      <c r="F43" s="71" t="n"/>
      <c r="G43" s="71" t="n"/>
      <c r="H43" s="71" t="n"/>
      <c r="I43" s="28">
        <f>IF(OR(C43&lt;&gt;"",D43&lt;&gt;""),I42+IF(C43&lt;&gt;"",C43,0)-IF(D43&lt;&gt;"",D43,0),"")</f>
        <v/>
      </c>
    </row>
    <row r="44" ht="18" customHeight="1">
      <c r="A44" s="56" t="n"/>
      <c r="B44" s="58" t="n"/>
      <c r="C44" s="128" t="n"/>
      <c r="D44" s="129" t="n"/>
      <c r="E44" s="59" t="n"/>
      <c r="F44" s="59" t="n"/>
      <c r="G44" s="59" t="n"/>
      <c r="H44" s="59" t="n"/>
      <c r="I44" s="28">
        <f>IF(OR(C44&lt;&gt;"",D44&lt;&gt;""),I43+IF(C44&lt;&gt;"",C44,0)-IF(D44&lt;&gt;"",D44,0),"")</f>
        <v/>
      </c>
    </row>
    <row r="45" ht="18" customHeight="1">
      <c r="A45" s="68" t="n"/>
      <c r="B45" s="70" t="n"/>
      <c r="C45" s="128" t="n"/>
      <c r="D45" s="129" t="n"/>
      <c r="E45" s="71" t="n"/>
      <c r="F45" s="71" t="n"/>
      <c r="G45" s="71" t="n"/>
      <c r="H45" s="71" t="n"/>
      <c r="I45" s="28">
        <f>IF(OR(C45&lt;&gt;"",D45&lt;&gt;""),I44+IF(C45&lt;&gt;"",C45,0)-IF(D45&lt;&gt;"",D45,0),"")</f>
        <v/>
      </c>
    </row>
    <row r="46" ht="18" customHeight="1">
      <c r="A46" s="56" t="n"/>
      <c r="B46" s="58" t="n"/>
      <c r="C46" s="128" t="n"/>
      <c r="D46" s="129" t="n"/>
      <c r="E46" s="59" t="n"/>
      <c r="F46" s="59" t="n"/>
      <c r="G46" s="59" t="n"/>
      <c r="H46" s="59" t="n"/>
      <c r="I46" s="28">
        <f>IF(OR(C46&lt;&gt;"",D46&lt;&gt;""),I45+IF(C46&lt;&gt;"",C46,0)-IF(D46&lt;&gt;"",D46,0),"")</f>
        <v/>
      </c>
    </row>
    <row r="47" ht="18" customHeight="1">
      <c r="A47" s="68" t="n"/>
      <c r="B47" s="70" t="n"/>
      <c r="C47" s="128" t="n"/>
      <c r="D47" s="129" t="n"/>
      <c r="E47" s="71" t="n"/>
      <c r="F47" s="71" t="n"/>
      <c r="G47" s="71" t="n"/>
      <c r="H47" s="71" t="n"/>
      <c r="I47" s="28">
        <f>IF(OR(C47&lt;&gt;"",D47&lt;&gt;""),I46+IF(C47&lt;&gt;"",C47,0)-IF(D47&lt;&gt;"",D47,0),"")</f>
        <v/>
      </c>
    </row>
    <row r="48" ht="18" customHeight="1">
      <c r="A48" s="56" t="n"/>
      <c r="B48" s="58" t="n"/>
      <c r="C48" s="128" t="n"/>
      <c r="D48" s="129" t="n"/>
      <c r="E48" s="59" t="n"/>
      <c r="F48" s="59" t="n"/>
      <c r="G48" s="59" t="n"/>
      <c r="H48" s="59" t="n"/>
      <c r="I48" s="28">
        <f>IF(OR(C48&lt;&gt;"",D48&lt;&gt;""),I47+IF(C48&lt;&gt;"",C48,0)-IF(D48&lt;&gt;"",D48,0),"")</f>
        <v/>
      </c>
    </row>
    <row r="49" ht="18" customHeight="1">
      <c r="A49" s="68" t="n"/>
      <c r="B49" s="70" t="n"/>
      <c r="C49" s="128" t="n"/>
      <c r="D49" s="129" t="n"/>
      <c r="E49" s="71" t="n"/>
      <c r="F49" s="71" t="n"/>
      <c r="G49" s="71" t="n"/>
      <c r="H49" s="71" t="n"/>
      <c r="I49" s="28">
        <f>IF(OR(C49&lt;&gt;"",D49&lt;&gt;""),I48+IF(C49&lt;&gt;"",C49,0)-IF(D49&lt;&gt;"",D49,0),"")</f>
        <v/>
      </c>
    </row>
    <row r="50" ht="18" customHeight="1">
      <c r="A50" s="56" t="n"/>
      <c r="B50" s="58" t="n"/>
      <c r="C50" s="128" t="n"/>
      <c r="D50" s="129" t="n"/>
      <c r="E50" s="59" t="n"/>
      <c r="F50" s="59" t="n"/>
      <c r="G50" s="59" t="n"/>
      <c r="H50" s="59" t="n"/>
      <c r="I50" s="28">
        <f>IF(OR(C50&lt;&gt;"",D50&lt;&gt;""),I49+IF(C50&lt;&gt;"",C50,0)-IF(D50&lt;&gt;"",D50,0),"")</f>
        <v/>
      </c>
    </row>
    <row r="51" ht="18" customHeight="1">
      <c r="A51" s="68" t="n"/>
      <c r="B51" s="70" t="n"/>
      <c r="C51" s="128" t="n"/>
      <c r="D51" s="129" t="n"/>
      <c r="E51" s="71" t="n"/>
      <c r="F51" s="71" t="n"/>
      <c r="G51" s="71" t="n"/>
      <c r="H51" s="71" t="n"/>
      <c r="I51" s="28">
        <f>IF(OR(C51&lt;&gt;"",D51&lt;&gt;""),I50+IF(C51&lt;&gt;"",C51,0)-IF(D51&lt;&gt;"",D51,0),"")</f>
        <v/>
      </c>
    </row>
    <row r="52" ht="18" customHeight="1">
      <c r="A52" s="56" t="n"/>
      <c r="B52" s="58" t="n"/>
      <c r="C52" s="128" t="n"/>
      <c r="D52" s="129" t="n"/>
      <c r="E52" s="59" t="n"/>
      <c r="F52" s="59" t="n"/>
      <c r="G52" s="59" t="n"/>
      <c r="H52" s="59" t="n"/>
      <c r="I52" s="28">
        <f>IF(OR(C52&lt;&gt;"",D52&lt;&gt;""),I51+IF(C52&lt;&gt;"",C52,0)-IF(D52&lt;&gt;"",D52,0),"")</f>
        <v/>
      </c>
    </row>
    <row r="53" ht="18" customHeight="1">
      <c r="A53" s="68" t="n"/>
      <c r="B53" s="70" t="n"/>
      <c r="C53" s="128" t="n"/>
      <c r="D53" s="129" t="n"/>
      <c r="E53" s="71" t="n"/>
      <c r="F53" s="71" t="n"/>
      <c r="G53" s="71" t="n"/>
      <c r="H53" s="71" t="n"/>
      <c r="I53" s="28">
        <f>IF(OR(C53&lt;&gt;"",D53&lt;&gt;""),I52+IF(C53&lt;&gt;"",C53,0)-IF(D53&lt;&gt;"",D53,0),"")</f>
        <v/>
      </c>
    </row>
    <row r="54" ht="18" customHeight="1">
      <c r="A54" s="56" t="n"/>
      <c r="B54" s="58" t="n"/>
      <c r="C54" s="128" t="n"/>
      <c r="D54" s="129" t="n"/>
      <c r="E54" s="59" t="n"/>
      <c r="F54" s="59" t="n"/>
      <c r="G54" s="59" t="n"/>
      <c r="H54" s="59" t="n"/>
      <c r="I54" s="28">
        <f>IF(OR(C54&lt;&gt;"",D54&lt;&gt;""),I53+IF(C54&lt;&gt;"",C54,0)-IF(D54&lt;&gt;"",D54,0),"")</f>
        <v/>
      </c>
    </row>
    <row r="55" ht="18" customHeight="1">
      <c r="A55" s="68" t="n"/>
      <c r="B55" s="70" t="n"/>
      <c r="C55" s="128" t="n"/>
      <c r="D55" s="129" t="n"/>
      <c r="E55" s="71" t="n"/>
      <c r="F55" s="71" t="n"/>
      <c r="G55" s="71" t="n"/>
      <c r="H55" s="71" t="n"/>
      <c r="I55" s="28">
        <f>IF(OR(C55&lt;&gt;"",D55&lt;&gt;""),I54+IF(C55&lt;&gt;"",C55,0)-IF(D55&lt;&gt;"",D55,0),"")</f>
        <v/>
      </c>
    </row>
    <row r="56" ht="18" customHeight="1">
      <c r="A56" s="56" t="n"/>
      <c r="B56" s="58" t="n"/>
      <c r="C56" s="128" t="n"/>
      <c r="D56" s="129" t="n"/>
      <c r="E56" s="59" t="n"/>
      <c r="F56" s="59" t="n"/>
      <c r="G56" s="59" t="n"/>
      <c r="H56" s="59" t="n"/>
      <c r="I56" s="28">
        <f>IF(OR(C56&lt;&gt;"",D56&lt;&gt;""),I55+IF(C56&lt;&gt;"",C56,0)-IF(D56&lt;&gt;"",D56,0),"")</f>
        <v/>
      </c>
    </row>
    <row r="57" ht="18" customHeight="1">
      <c r="A57" s="68" t="n"/>
      <c r="B57" s="70" t="n"/>
      <c r="C57" s="128" t="n"/>
      <c r="D57" s="129" t="n"/>
      <c r="E57" s="71" t="n"/>
      <c r="F57" s="71" t="n"/>
      <c r="G57" s="71" t="n"/>
      <c r="H57" s="71" t="n"/>
      <c r="I57" s="28">
        <f>IF(OR(C57&lt;&gt;"",D57&lt;&gt;""),I56+IF(C57&lt;&gt;"",C57,0)-IF(D57&lt;&gt;"",D57,0),"")</f>
        <v/>
      </c>
    </row>
    <row r="58" ht="18" customHeight="1">
      <c r="A58" s="56" t="n"/>
      <c r="B58" s="58" t="n"/>
      <c r="C58" s="128" t="n"/>
      <c r="D58" s="129" t="n"/>
      <c r="E58" s="59" t="n"/>
      <c r="F58" s="59" t="n"/>
      <c r="G58" s="59" t="n"/>
      <c r="H58" s="59" t="n"/>
      <c r="I58" s="28">
        <f>IF(OR(C58&lt;&gt;"",D58&lt;&gt;""),I57+IF(C58&lt;&gt;"",C58,0)-IF(D58&lt;&gt;"",D58,0),"")</f>
        <v/>
      </c>
    </row>
    <row r="59" ht="18" customHeight="1">
      <c r="A59" s="68" t="n"/>
      <c r="B59" s="70" t="n"/>
      <c r="C59" s="128" t="n"/>
      <c r="D59" s="129" t="n"/>
      <c r="E59" s="71" t="n"/>
      <c r="F59" s="71" t="n"/>
      <c r="G59" s="71" t="n"/>
      <c r="H59" s="71" t="n"/>
      <c r="I59" s="28">
        <f>IF(OR(C59&lt;&gt;"",D59&lt;&gt;""),I58+IF(C59&lt;&gt;"",C59,0)-IF(D59&lt;&gt;"",D59,0),"")</f>
        <v/>
      </c>
    </row>
    <row r="60" ht="18" customHeight="1">
      <c r="A60" s="56" t="n"/>
      <c r="B60" s="58" t="n"/>
      <c r="C60" s="128" t="n"/>
      <c r="D60" s="129" t="n"/>
      <c r="E60" s="59" t="n"/>
      <c r="F60" s="59" t="n"/>
      <c r="G60" s="59" t="n"/>
      <c r="H60" s="59" t="n"/>
      <c r="I60" s="28">
        <f>IF(OR(C60&lt;&gt;"",D60&lt;&gt;""),I59+IF(C60&lt;&gt;"",C60,0)-IF(D60&lt;&gt;"",D60,0),"")</f>
        <v/>
      </c>
    </row>
    <row r="61" ht="18" customHeight="1">
      <c r="A61" s="68" t="n"/>
      <c r="B61" s="70" t="n"/>
      <c r="C61" s="128" t="n"/>
      <c r="D61" s="129" t="n"/>
      <c r="E61" s="71" t="n"/>
      <c r="F61" s="71" t="n"/>
      <c r="G61" s="71" t="n"/>
      <c r="H61" s="71" t="n"/>
      <c r="I61" s="28">
        <f>IF(OR(C61&lt;&gt;"",D61&lt;&gt;""),I60+IF(C61&lt;&gt;"",C61,0)-IF(D61&lt;&gt;"",D61,0),"")</f>
        <v/>
      </c>
    </row>
    <row r="62" ht="18" customHeight="1">
      <c r="A62" s="56" t="n"/>
      <c r="B62" s="58" t="n"/>
      <c r="C62" s="128" t="n"/>
      <c r="D62" s="129" t="n"/>
      <c r="E62" s="59" t="n"/>
      <c r="F62" s="59" t="n"/>
      <c r="G62" s="59" t="n"/>
      <c r="H62" s="59" t="n"/>
      <c r="I62" s="28">
        <f>IF(OR(C62&lt;&gt;"",D62&lt;&gt;""),I61+IF(C62&lt;&gt;"",C62,0)-IF(D62&lt;&gt;"",D62,0),"")</f>
        <v/>
      </c>
    </row>
    <row r="63" ht="18" customHeight="1">
      <c r="A63" s="68" t="n"/>
      <c r="B63" s="70" t="n"/>
      <c r="C63" s="128" t="n"/>
      <c r="D63" s="129" t="n"/>
      <c r="E63" s="71" t="n"/>
      <c r="F63" s="71" t="n"/>
      <c r="G63" s="71" t="n"/>
      <c r="H63" s="71" t="n"/>
      <c r="I63" s="28">
        <f>IF(OR(C63&lt;&gt;"",D63&lt;&gt;""),I62+IF(C63&lt;&gt;"",C63,0)-IF(D63&lt;&gt;"",D63,0),"")</f>
        <v/>
      </c>
    </row>
    <row r="64" ht="18" customHeight="1">
      <c r="A64" s="56" t="n"/>
      <c r="B64" s="58" t="n"/>
      <c r="C64" s="128" t="n"/>
      <c r="D64" s="129" t="n"/>
      <c r="E64" s="59" t="n"/>
      <c r="F64" s="59" t="n"/>
      <c r="G64" s="59" t="n"/>
      <c r="H64" s="59" t="n"/>
      <c r="I64" s="28">
        <f>IF(OR(C64&lt;&gt;"",D64&lt;&gt;""),I63+IF(C64&lt;&gt;"",C64,0)-IF(D64&lt;&gt;"",D64,0),"")</f>
        <v/>
      </c>
    </row>
    <row r="65" ht="18" customHeight="1">
      <c r="A65" s="68" t="n"/>
      <c r="B65" s="70" t="n"/>
      <c r="C65" s="128" t="n"/>
      <c r="D65" s="129" t="n"/>
      <c r="E65" s="71" t="n"/>
      <c r="F65" s="71" t="n"/>
      <c r="G65" s="71" t="n"/>
      <c r="H65" s="71" t="n"/>
      <c r="I65" s="28">
        <f>IF(OR(C65&lt;&gt;"",D65&lt;&gt;""),I64+IF(C65&lt;&gt;"",C65,0)-IF(D65&lt;&gt;"",D65,0),"")</f>
        <v/>
      </c>
    </row>
    <row r="66" ht="18" customHeight="1">
      <c r="A66" s="56" t="n"/>
      <c r="B66" s="58" t="n"/>
      <c r="C66" s="128" t="n"/>
      <c r="D66" s="129" t="n"/>
      <c r="E66" s="59" t="n"/>
      <c r="F66" s="59" t="n"/>
      <c r="G66" s="59" t="n"/>
      <c r="H66" s="59" t="n"/>
      <c r="I66" s="28">
        <f>IF(OR(C66&lt;&gt;"",D66&lt;&gt;""),I65+IF(C66&lt;&gt;"",C66,0)-IF(D66&lt;&gt;"",D66,0),"")</f>
        <v/>
      </c>
    </row>
    <row r="67" ht="18" customHeight="1">
      <c r="A67" s="68" t="n"/>
      <c r="B67" s="70" t="n"/>
      <c r="C67" s="128" t="n"/>
      <c r="D67" s="129" t="n"/>
      <c r="E67" s="71" t="n"/>
      <c r="F67" s="71" t="n"/>
      <c r="G67" s="71" t="n"/>
      <c r="H67" s="71" t="n"/>
      <c r="I67" s="28">
        <f>IF(OR(C67&lt;&gt;"",D67&lt;&gt;""),I66+IF(C67&lt;&gt;"",C67,0)-IF(D67&lt;&gt;"",D67,0),"")</f>
        <v/>
      </c>
    </row>
    <row r="68" ht="18" customHeight="1">
      <c r="A68" s="56" t="n"/>
      <c r="B68" s="58" t="n"/>
      <c r="C68" s="128" t="n"/>
      <c r="D68" s="129" t="n"/>
      <c r="E68" s="59" t="n"/>
      <c r="F68" s="59" t="n"/>
      <c r="G68" s="59" t="n"/>
      <c r="H68" s="59" t="n"/>
      <c r="I68" s="28">
        <f>IF(OR(C68&lt;&gt;"",D68&lt;&gt;""),I67+IF(C68&lt;&gt;"",C68,0)-IF(D68&lt;&gt;"",D68,0),"")</f>
        <v/>
      </c>
    </row>
    <row r="69" ht="18" customHeight="1">
      <c r="A69" s="68" t="n"/>
      <c r="B69" s="70" t="n"/>
      <c r="C69" s="128" t="n"/>
      <c r="D69" s="129" t="n"/>
      <c r="E69" s="71" t="n"/>
      <c r="F69" s="71" t="n"/>
      <c r="G69" s="71" t="n"/>
      <c r="H69" s="71" t="n"/>
      <c r="I69" s="28">
        <f>IF(OR(C69&lt;&gt;"",D69&lt;&gt;""),I68+IF(C69&lt;&gt;"",C69,0)-IF(D69&lt;&gt;"",D69,0),"")</f>
        <v/>
      </c>
    </row>
    <row r="70" ht="18" customHeight="1">
      <c r="A70" s="56" t="n"/>
      <c r="B70" s="58" t="n"/>
      <c r="C70" s="128" t="n"/>
      <c r="D70" s="129" t="n"/>
      <c r="E70" s="59" t="n"/>
      <c r="F70" s="59" t="n"/>
      <c r="G70" s="59" t="n"/>
      <c r="H70" s="59" t="n"/>
      <c r="I70" s="28">
        <f>IF(OR(C70&lt;&gt;"",D70&lt;&gt;""),I69+IF(C70&lt;&gt;"",C70,0)-IF(D70&lt;&gt;"",D70,0),"")</f>
        <v/>
      </c>
    </row>
    <row r="71" ht="18" customHeight="1">
      <c r="A71" s="68" t="n"/>
      <c r="B71" s="70" t="n"/>
      <c r="C71" s="128" t="n"/>
      <c r="D71" s="129" t="n"/>
      <c r="E71" s="71" t="n"/>
      <c r="F71" s="71" t="n"/>
      <c r="G71" s="71" t="n"/>
      <c r="H71" s="71" t="n"/>
      <c r="I71" s="28">
        <f>IF(OR(C71&lt;&gt;"",D71&lt;&gt;""),I70+IF(C71&lt;&gt;"",C71,0)-IF(D71&lt;&gt;"",D71,0),"")</f>
        <v/>
      </c>
    </row>
    <row r="72" ht="18" customHeight="1">
      <c r="A72" s="56" t="n"/>
      <c r="B72" s="58" t="n"/>
      <c r="C72" s="128" t="n"/>
      <c r="D72" s="129" t="n"/>
      <c r="E72" s="59" t="n"/>
      <c r="F72" s="59" t="n"/>
      <c r="G72" s="59" t="n"/>
      <c r="H72" s="59" t="n"/>
      <c r="I72" s="28">
        <f>IF(OR(C72&lt;&gt;"",D72&lt;&gt;""),I71+IF(C72&lt;&gt;"",C72,0)-IF(D72&lt;&gt;"",D72,0),"")</f>
        <v/>
      </c>
    </row>
    <row r="73" ht="18" customHeight="1">
      <c r="A73" s="68" t="n"/>
      <c r="B73" s="70" t="n"/>
      <c r="C73" s="128" t="n"/>
      <c r="D73" s="129" t="n"/>
      <c r="E73" s="71" t="n"/>
      <c r="F73" s="71" t="n"/>
      <c r="G73" s="71" t="n"/>
      <c r="H73" s="71" t="n"/>
      <c r="I73" s="28">
        <f>IF(OR(C73&lt;&gt;"",D73&lt;&gt;""),I72+IF(C73&lt;&gt;"",C73,0)-IF(D73&lt;&gt;"",D73,0),"")</f>
        <v/>
      </c>
    </row>
    <row r="74" ht="18" customHeight="1">
      <c r="A74" s="56" t="n"/>
      <c r="B74" s="58" t="n"/>
      <c r="C74" s="128" t="n"/>
      <c r="D74" s="129" t="n"/>
      <c r="E74" s="59" t="n"/>
      <c r="F74" s="59" t="n"/>
      <c r="G74" s="59" t="n"/>
      <c r="H74" s="59" t="n"/>
      <c r="I74" s="28">
        <f>IF(OR(C74&lt;&gt;"",D74&lt;&gt;""),I73+IF(C74&lt;&gt;"",C74,0)-IF(D74&lt;&gt;"",D74,0),"")</f>
        <v/>
      </c>
    </row>
    <row r="75" ht="18" customHeight="1">
      <c r="A75" s="68" t="n"/>
      <c r="B75" s="70" t="n"/>
      <c r="C75" s="128" t="n"/>
      <c r="D75" s="129" t="n"/>
      <c r="E75" s="71" t="n"/>
      <c r="F75" s="71" t="n"/>
      <c r="G75" s="71" t="n"/>
      <c r="H75" s="71" t="n"/>
      <c r="I75" s="28">
        <f>IF(OR(C75&lt;&gt;"",D75&lt;&gt;""),I74+IF(C75&lt;&gt;"",C75,0)-IF(D75&lt;&gt;"",D75,0),"")</f>
        <v/>
      </c>
    </row>
    <row r="76" ht="18" customHeight="1">
      <c r="A76" s="56" t="n"/>
      <c r="B76" s="58" t="n"/>
      <c r="C76" s="128" t="n"/>
      <c r="D76" s="129" t="n"/>
      <c r="E76" s="59" t="n"/>
      <c r="F76" s="59" t="n"/>
      <c r="G76" s="59" t="n"/>
      <c r="H76" s="59" t="n"/>
      <c r="I76" s="28">
        <f>IF(OR(C76&lt;&gt;"",D76&lt;&gt;""),I75+IF(C76&lt;&gt;"",C76,0)-IF(D76&lt;&gt;"",D76,0),"")</f>
        <v/>
      </c>
    </row>
    <row r="77" ht="18" customHeight="1">
      <c r="A77" s="68" t="n"/>
      <c r="B77" s="70" t="n"/>
      <c r="C77" s="128" t="n"/>
      <c r="D77" s="129" t="n"/>
      <c r="E77" s="71" t="n"/>
      <c r="F77" s="71" t="n"/>
      <c r="G77" s="71" t="n"/>
      <c r="H77" s="71" t="n"/>
      <c r="I77" s="28">
        <f>IF(OR(C77&lt;&gt;"",D77&lt;&gt;""),I76+IF(C77&lt;&gt;"",C77,0)-IF(D77&lt;&gt;"",D77,0),"")</f>
        <v/>
      </c>
    </row>
    <row r="78" ht="18" customHeight="1">
      <c r="A78" s="56" t="n"/>
      <c r="B78" s="58" t="n"/>
      <c r="C78" s="128" t="n"/>
      <c r="D78" s="129" t="n"/>
      <c r="E78" s="59" t="n"/>
      <c r="F78" s="59" t="n"/>
      <c r="G78" s="59" t="n"/>
      <c r="H78" s="59" t="n"/>
      <c r="I78" s="28">
        <f>IF(OR(C78&lt;&gt;"",D78&lt;&gt;""),I77+IF(C78&lt;&gt;"",C78,0)-IF(D78&lt;&gt;"",D78,0),"")</f>
        <v/>
      </c>
    </row>
    <row r="79" ht="18" customHeight="1">
      <c r="A79" s="68" t="n"/>
      <c r="B79" s="70" t="n"/>
      <c r="C79" s="128" t="n"/>
      <c r="D79" s="129" t="n"/>
      <c r="E79" s="71" t="n"/>
      <c r="F79" s="71" t="n"/>
      <c r="G79" s="71" t="n"/>
      <c r="H79" s="71" t="n"/>
      <c r="I79" s="28">
        <f>IF(OR(C79&lt;&gt;"",D79&lt;&gt;""),I78+IF(C79&lt;&gt;"",C79,0)-IF(D79&lt;&gt;"",D79,0),"")</f>
        <v/>
      </c>
    </row>
    <row r="80" ht="18" customHeight="1">
      <c r="A80" s="56" t="n"/>
      <c r="B80" s="58" t="n"/>
      <c r="C80" s="128" t="n"/>
      <c r="D80" s="129" t="n"/>
      <c r="E80" s="59" t="n"/>
      <c r="F80" s="59" t="n"/>
      <c r="G80" s="59" t="n"/>
      <c r="H80" s="59" t="n"/>
      <c r="I80" s="28">
        <f>IF(OR(C80&lt;&gt;"",D80&lt;&gt;""),I79+IF(C80&lt;&gt;"",C80,0)-IF(D80&lt;&gt;"",D80,0),"")</f>
        <v/>
      </c>
    </row>
    <row r="81" ht="18" customHeight="1">
      <c r="A81" s="68" t="n"/>
      <c r="B81" s="70" t="n"/>
      <c r="C81" s="128" t="n"/>
      <c r="D81" s="129" t="n"/>
      <c r="E81" s="71" t="n"/>
      <c r="F81" s="71" t="n"/>
      <c r="G81" s="71" t="n"/>
      <c r="H81" s="71" t="n"/>
      <c r="I81" s="28">
        <f>IF(OR(C81&lt;&gt;"",D81&lt;&gt;""),I80+IF(C81&lt;&gt;"",C81,0)-IF(D81&lt;&gt;"",D81,0),"")</f>
        <v/>
      </c>
    </row>
    <row r="82" ht="18" customHeight="1">
      <c r="A82" s="56" t="n"/>
      <c r="B82" s="58" t="n"/>
      <c r="C82" s="128" t="n"/>
      <c r="D82" s="129" t="n"/>
      <c r="E82" s="59" t="n"/>
      <c r="F82" s="59" t="n"/>
      <c r="G82" s="59" t="n"/>
      <c r="H82" s="59" t="n"/>
      <c r="I82" s="28">
        <f>IF(OR(C82&lt;&gt;"",D82&lt;&gt;""),I81+IF(C82&lt;&gt;"",C82,0)-IF(D82&lt;&gt;"",D82,0),"")</f>
        <v/>
      </c>
    </row>
    <row r="83" ht="18" customHeight="1">
      <c r="A83" s="68" t="n"/>
      <c r="B83" s="70" t="n"/>
      <c r="C83" s="128" t="n"/>
      <c r="D83" s="129" t="n"/>
      <c r="E83" s="71" t="n"/>
      <c r="F83" s="71" t="n"/>
      <c r="G83" s="71" t="n"/>
      <c r="H83" s="71" t="n"/>
      <c r="I83" s="28">
        <f>IF(OR(C83&lt;&gt;"",D83&lt;&gt;""),I82+IF(C83&lt;&gt;"",C83,0)-IF(D83&lt;&gt;"",D83,0),"")</f>
        <v/>
      </c>
    </row>
    <row r="84" ht="18" customHeight="1">
      <c r="A84" s="56" t="n"/>
      <c r="B84" s="58" t="n"/>
      <c r="C84" s="128" t="n"/>
      <c r="D84" s="129" t="n"/>
      <c r="E84" s="59" t="n"/>
      <c r="F84" s="59" t="n"/>
      <c r="G84" s="59" t="n"/>
      <c r="H84" s="59" t="n"/>
      <c r="I84" s="28">
        <f>IF(OR(C84&lt;&gt;"",D84&lt;&gt;""),I83+IF(C84&lt;&gt;"",C84,0)-IF(D84&lt;&gt;"",D84,0),"")</f>
        <v/>
      </c>
    </row>
    <row r="85" ht="18" customHeight="1">
      <c r="A85" s="68" t="n"/>
      <c r="B85" s="70" t="n"/>
      <c r="C85" s="128" t="n"/>
      <c r="D85" s="129" t="n"/>
      <c r="E85" s="71" t="n"/>
      <c r="F85" s="71" t="n"/>
      <c r="G85" s="71" t="n"/>
      <c r="H85" s="71" t="n"/>
      <c r="I85" s="28">
        <f>IF(OR(C85&lt;&gt;"",D85&lt;&gt;""),I84+IF(C85&lt;&gt;"",C85,0)-IF(D85&lt;&gt;"",D85,0),"")</f>
        <v/>
      </c>
    </row>
    <row r="86" ht="18" customHeight="1">
      <c r="A86" s="56" t="n"/>
      <c r="B86" s="58" t="n"/>
      <c r="C86" s="128" t="n"/>
      <c r="D86" s="129" t="n"/>
      <c r="E86" s="59" t="n"/>
      <c r="F86" s="59" t="n"/>
      <c r="G86" s="59" t="n"/>
      <c r="H86" s="59" t="n"/>
      <c r="I86" s="28">
        <f>IF(OR(C86&lt;&gt;"",D86&lt;&gt;""),I85+IF(C86&lt;&gt;"",C86,0)-IF(D86&lt;&gt;"",D86,0),"")</f>
        <v/>
      </c>
    </row>
    <row r="87" ht="18" customHeight="1">
      <c r="A87" s="68" t="n"/>
      <c r="B87" s="70" t="n"/>
      <c r="C87" s="128" t="n"/>
      <c r="D87" s="129" t="n"/>
      <c r="E87" s="71" t="n"/>
      <c r="F87" s="71" t="n"/>
      <c r="G87" s="71" t="n"/>
      <c r="H87" s="71" t="n"/>
      <c r="I87" s="28">
        <f>IF(OR(C87&lt;&gt;"",D87&lt;&gt;""),I86+IF(C87&lt;&gt;"",C87,0)-IF(D87&lt;&gt;"",D87,0),"")</f>
        <v/>
      </c>
    </row>
    <row r="88" ht="18" customHeight="1">
      <c r="A88" s="56" t="n"/>
      <c r="B88" s="58" t="n"/>
      <c r="C88" s="128" t="n"/>
      <c r="D88" s="129" t="n"/>
      <c r="E88" s="59" t="n"/>
      <c r="F88" s="59" t="n"/>
      <c r="G88" s="59" t="n"/>
      <c r="H88" s="59" t="n"/>
      <c r="I88" s="28">
        <f>IF(OR(C88&lt;&gt;"",D88&lt;&gt;""),I87+IF(C88&lt;&gt;"",C88,0)-IF(D88&lt;&gt;"",D88,0),"")</f>
        <v/>
      </c>
    </row>
    <row r="89" ht="18" customHeight="1">
      <c r="A89" s="68" t="n"/>
      <c r="B89" s="70" t="n"/>
      <c r="C89" s="128" t="n"/>
      <c r="D89" s="129" t="n"/>
      <c r="E89" s="71" t="n"/>
      <c r="F89" s="71" t="n"/>
      <c r="G89" s="71" t="n"/>
      <c r="H89" s="71" t="n"/>
      <c r="I89" s="28">
        <f>IF(OR(C89&lt;&gt;"",D89&lt;&gt;""),I88+IF(C89&lt;&gt;"",C89,0)-IF(D89&lt;&gt;"",D89,0),"")</f>
        <v/>
      </c>
    </row>
    <row r="90" ht="18" customHeight="1">
      <c r="A90" s="56" t="n"/>
      <c r="B90" s="58" t="n"/>
      <c r="C90" s="128" t="n"/>
      <c r="D90" s="129" t="n"/>
      <c r="E90" s="59" t="n"/>
      <c r="F90" s="59" t="n"/>
      <c r="G90" s="59" t="n"/>
      <c r="H90" s="59" t="n"/>
      <c r="I90" s="28">
        <f>IF(OR(C90&lt;&gt;"",D90&lt;&gt;""),I89+IF(C90&lt;&gt;"",C90,0)-IF(D90&lt;&gt;"",D90,0),"")</f>
        <v/>
      </c>
    </row>
    <row r="91" ht="18" customHeight="1">
      <c r="A91" s="68" t="n"/>
      <c r="B91" s="70" t="n"/>
      <c r="C91" s="128" t="n"/>
      <c r="D91" s="129" t="n"/>
      <c r="E91" s="71" t="n"/>
      <c r="F91" s="71" t="n"/>
      <c r="G91" s="71" t="n"/>
      <c r="H91" s="71" t="n"/>
      <c r="I91" s="28">
        <f>IF(OR(C91&lt;&gt;"",D91&lt;&gt;""),I90+IF(C91&lt;&gt;"",C91,0)-IF(D91&lt;&gt;"",D91,0),"")</f>
        <v/>
      </c>
    </row>
    <row r="92" ht="18" customHeight="1">
      <c r="A92" s="56" t="n"/>
      <c r="B92" s="58" t="n"/>
      <c r="C92" s="128" t="n"/>
      <c r="D92" s="129" t="n"/>
      <c r="E92" s="59" t="n"/>
      <c r="F92" s="59" t="n"/>
      <c r="G92" s="59" t="n"/>
      <c r="H92" s="59" t="n"/>
      <c r="I92" s="28">
        <f>IF(OR(C92&lt;&gt;"",D92&lt;&gt;""),I91+IF(C92&lt;&gt;"",C92,0)-IF(D92&lt;&gt;"",D92,0),"")</f>
        <v/>
      </c>
    </row>
    <row r="93" ht="18" customHeight="1">
      <c r="A93" s="68" t="n"/>
      <c r="B93" s="70" t="n"/>
      <c r="C93" s="128" t="n"/>
      <c r="D93" s="129" t="n"/>
      <c r="E93" s="71" t="n"/>
      <c r="F93" s="71" t="n"/>
      <c r="G93" s="71" t="n"/>
      <c r="H93" s="71" t="n"/>
      <c r="I93" s="28">
        <f>IF(OR(C93&lt;&gt;"",D93&lt;&gt;""),I92+IF(C93&lt;&gt;"",C93,0)-IF(D93&lt;&gt;"",D93,0),"")</f>
        <v/>
      </c>
    </row>
    <row r="94" ht="18" customHeight="1">
      <c r="A94" s="56" t="n"/>
      <c r="B94" s="58" t="n"/>
      <c r="C94" s="128" t="n"/>
      <c r="D94" s="129" t="n"/>
      <c r="E94" s="59" t="n"/>
      <c r="F94" s="59" t="n"/>
      <c r="G94" s="59" t="n"/>
      <c r="H94" s="59" t="n"/>
      <c r="I94" s="28">
        <f>IF(OR(C94&lt;&gt;"",D94&lt;&gt;""),I93+IF(C94&lt;&gt;"",C94,0)-IF(D94&lt;&gt;"",D94,0),"")</f>
        <v/>
      </c>
    </row>
    <row r="95" ht="18" customHeight="1">
      <c r="A95" s="68" t="n"/>
      <c r="B95" s="70" t="n"/>
      <c r="C95" s="128" t="n"/>
      <c r="D95" s="129" t="n"/>
      <c r="E95" s="71" t="n"/>
      <c r="F95" s="71" t="n"/>
      <c r="G95" s="71" t="n"/>
      <c r="H95" s="71" t="n"/>
      <c r="I95" s="28">
        <f>IF(OR(C95&lt;&gt;"",D95&lt;&gt;""),I94+IF(C95&lt;&gt;"",C95,0)-IF(D95&lt;&gt;"",D95,0),"")</f>
        <v/>
      </c>
    </row>
    <row r="96" ht="18" customHeight="1">
      <c r="A96" s="56" t="n"/>
      <c r="B96" s="58" t="n"/>
      <c r="C96" s="128" t="n"/>
      <c r="D96" s="129" t="n"/>
      <c r="E96" s="59" t="n"/>
      <c r="F96" s="59" t="n"/>
      <c r="G96" s="59" t="n"/>
      <c r="H96" s="59" t="n"/>
      <c r="I96" s="28">
        <f>IF(OR(C96&lt;&gt;"",D96&lt;&gt;""),I95+IF(C96&lt;&gt;"",C96,0)-IF(D96&lt;&gt;"",D96,0),"")</f>
        <v/>
      </c>
    </row>
    <row r="97" ht="18" customHeight="1">
      <c r="A97" s="68" t="n"/>
      <c r="B97" s="70" t="n"/>
      <c r="C97" s="128" t="n"/>
      <c r="D97" s="129" t="n"/>
      <c r="E97" s="71" t="n"/>
      <c r="F97" s="71" t="n"/>
      <c r="G97" s="71" t="n"/>
      <c r="H97" s="71" t="n"/>
      <c r="I97" s="28">
        <f>IF(OR(C97&lt;&gt;"",D97&lt;&gt;""),I96+IF(C97&lt;&gt;"",C97,0)-IF(D97&lt;&gt;"",D97,0),"")</f>
        <v/>
      </c>
    </row>
    <row r="98" ht="18" customHeight="1">
      <c r="A98" s="56" t="n"/>
      <c r="B98" s="58" t="n"/>
      <c r="C98" s="128" t="n"/>
      <c r="D98" s="129" t="n"/>
      <c r="E98" s="59" t="n"/>
      <c r="F98" s="59" t="n"/>
      <c r="G98" s="59" t="n"/>
      <c r="H98" s="59" t="n"/>
      <c r="I98" s="28">
        <f>IF(OR(C98&lt;&gt;"",D98&lt;&gt;""),I97+IF(C98&lt;&gt;"",C98,0)-IF(D98&lt;&gt;"",D98,0),"")</f>
        <v/>
      </c>
    </row>
    <row r="99" ht="18" customHeight="1">
      <c r="A99" s="68" t="n"/>
      <c r="B99" s="70" t="n"/>
      <c r="C99" s="128" t="n"/>
      <c r="D99" s="129" t="n"/>
      <c r="E99" s="71" t="n"/>
      <c r="F99" s="71" t="n"/>
      <c r="G99" s="71" t="n"/>
      <c r="H99" s="71" t="n"/>
      <c r="I99" s="28">
        <f>IF(OR(C99&lt;&gt;"",D99&lt;&gt;""),I98+IF(C99&lt;&gt;"",C99,0)-IF(D99&lt;&gt;"",D99,0),"")</f>
        <v/>
      </c>
    </row>
    <row r="100" ht="18" customHeight="1">
      <c r="A100" s="56" t="n"/>
      <c r="B100" s="58" t="n"/>
      <c r="C100" s="128" t="n"/>
      <c r="D100" s="129" t="n"/>
      <c r="E100" s="59" t="n"/>
      <c r="F100" s="59" t="n"/>
      <c r="G100" s="59" t="n"/>
      <c r="H100" s="59" t="n"/>
      <c r="I100" s="28">
        <f>IF(OR(C100&lt;&gt;"",D100&lt;&gt;""),I99+IF(C100&lt;&gt;"",C100,0)-IF(D100&lt;&gt;"",D100,0),"")</f>
        <v/>
      </c>
    </row>
    <row r="101" ht="18" customHeight="1">
      <c r="A101" s="68" t="n"/>
      <c r="B101" s="70" t="n"/>
      <c r="C101" s="128" t="n"/>
      <c r="D101" s="129" t="n"/>
      <c r="E101" s="71" t="n"/>
      <c r="F101" s="71" t="n"/>
      <c r="G101" s="71" t="n"/>
      <c r="H101" s="71" t="n"/>
      <c r="I101" s="28">
        <f>IF(OR(C101&lt;&gt;"",D101&lt;&gt;""),I100+IF(C101&lt;&gt;"",C101,0)-IF(D101&lt;&gt;"",D101,0),"")</f>
        <v/>
      </c>
    </row>
    <row r="102" ht="18" customHeight="1">
      <c r="A102" s="56" t="n"/>
      <c r="B102" s="58" t="n"/>
      <c r="C102" s="128" t="n"/>
      <c r="D102" s="129" t="n"/>
      <c r="E102" s="59" t="n"/>
      <c r="F102" s="59" t="n"/>
      <c r="G102" s="59" t="n"/>
      <c r="H102" s="59" t="n"/>
      <c r="I102" s="28">
        <f>IF(OR(C102&lt;&gt;"",D102&lt;&gt;""),I101+IF(C102&lt;&gt;"",C102,0)-IF(D102&lt;&gt;"",D102,0),"")</f>
        <v/>
      </c>
    </row>
    <row r="103" ht="18" customHeight="1">
      <c r="A103" s="68" t="n"/>
      <c r="B103" s="70" t="n"/>
      <c r="C103" s="128" t="n"/>
      <c r="D103" s="129" t="n"/>
      <c r="E103" s="71" t="n"/>
      <c r="F103" s="71" t="n"/>
      <c r="G103" s="71" t="n"/>
      <c r="H103" s="71" t="n"/>
      <c r="I103" s="28">
        <f>IF(OR(C103&lt;&gt;"",D103&lt;&gt;""),I102+IF(C103&lt;&gt;"",C103,0)-IF(D103&lt;&gt;"",D103,0),"")</f>
        <v/>
      </c>
    </row>
    <row r="104" ht="18" customHeight="1">
      <c r="A104" s="56" t="n"/>
      <c r="B104" s="58" t="n"/>
      <c r="C104" s="128" t="n"/>
      <c r="D104" s="129" t="n"/>
      <c r="E104" s="59" t="n"/>
      <c r="F104" s="59" t="n"/>
      <c r="G104" s="59" t="n"/>
      <c r="H104" s="59" t="n"/>
      <c r="I104" s="28">
        <f>IF(OR(C104&lt;&gt;"",D104&lt;&gt;""),I103+IF(C104&lt;&gt;"",C104,0)-IF(D104&lt;&gt;"",D104,0),"")</f>
        <v/>
      </c>
    </row>
    <row r="105" ht="18" customHeight="1">
      <c r="A105" s="68" t="n"/>
      <c r="B105" s="70" t="n"/>
      <c r="C105" s="128" t="n"/>
      <c r="D105" s="129" t="n"/>
      <c r="E105" s="71" t="n"/>
      <c r="F105" s="71" t="n"/>
      <c r="G105" s="71" t="n"/>
      <c r="H105" s="71" t="n"/>
      <c r="I105" s="28">
        <f>IF(OR(C105&lt;&gt;"",D105&lt;&gt;""),I104+IF(C105&lt;&gt;"",C105,0)-IF(D105&lt;&gt;"",D105,0),"")</f>
        <v/>
      </c>
    </row>
    <row r="106" ht="18" customHeight="1">
      <c r="A106" s="56" t="n"/>
      <c r="B106" s="58" t="n"/>
      <c r="C106" s="128" t="n"/>
      <c r="D106" s="129" t="n"/>
      <c r="E106" s="59" t="n"/>
      <c r="F106" s="59" t="n"/>
      <c r="G106" s="59" t="n"/>
      <c r="H106" s="59" t="n"/>
      <c r="I106" s="28">
        <f>IF(OR(C106&lt;&gt;"",D106&lt;&gt;""),I105+IF(C106&lt;&gt;"",C106,0)-IF(D106&lt;&gt;"",D106,0),"")</f>
        <v/>
      </c>
    </row>
    <row r="107" ht="18" customHeight="1">
      <c r="A107" s="68" t="n"/>
      <c r="B107" s="70" t="n"/>
      <c r="C107" s="128" t="n"/>
      <c r="D107" s="129" t="n"/>
      <c r="E107" s="71" t="n"/>
      <c r="F107" s="71" t="n"/>
      <c r="G107" s="71" t="n"/>
      <c r="H107" s="71" t="n"/>
      <c r="I107" s="28">
        <f>IF(OR(C107&lt;&gt;"",D107&lt;&gt;""),I106+IF(C107&lt;&gt;"",C107,0)-IF(D107&lt;&gt;"",D107,0),"")</f>
        <v/>
      </c>
    </row>
    <row r="108" ht="18" customHeight="1">
      <c r="A108" s="56" t="n"/>
      <c r="B108" s="58" t="n"/>
      <c r="C108" s="128" t="n"/>
      <c r="D108" s="129" t="n"/>
      <c r="E108" s="59" t="n"/>
      <c r="F108" s="59" t="n"/>
      <c r="G108" s="59" t="n"/>
      <c r="H108" s="59" t="n"/>
      <c r="I108" s="28">
        <f>IF(OR(C108&lt;&gt;"",D108&lt;&gt;""),I107+IF(C108&lt;&gt;"",C108,0)-IF(D108&lt;&gt;"",D108,0),"")</f>
        <v/>
      </c>
    </row>
    <row r="109" ht="18" customHeight="1">
      <c r="A109" s="68" t="n"/>
      <c r="B109" s="70" t="n"/>
      <c r="C109" s="128" t="n"/>
      <c r="D109" s="129" t="n"/>
      <c r="E109" s="71" t="n"/>
      <c r="F109" s="71" t="n"/>
      <c r="G109" s="71" t="n"/>
      <c r="H109" s="71" t="n"/>
      <c r="I109" s="28">
        <f>IF(OR(C109&lt;&gt;"",D109&lt;&gt;""),I108+IF(C109&lt;&gt;"",C109,0)-IF(D109&lt;&gt;"",D109,0),"")</f>
        <v/>
      </c>
    </row>
    <row r="110" ht="18" customHeight="1">
      <c r="A110" s="56" t="n"/>
      <c r="B110" s="58" t="n"/>
      <c r="C110" s="128" t="n"/>
      <c r="D110" s="129" t="n"/>
      <c r="E110" s="59" t="n"/>
      <c r="F110" s="59" t="n"/>
      <c r="G110" s="59" t="n"/>
      <c r="H110" s="59" t="n"/>
      <c r="I110" s="28">
        <f>IF(OR(C110&lt;&gt;"",D110&lt;&gt;""),I109+IF(C110&lt;&gt;"",C110,0)-IF(D110&lt;&gt;"",D110,0),"")</f>
        <v/>
      </c>
    </row>
    <row r="111" ht="18" customHeight="1">
      <c r="A111" s="68" t="n"/>
      <c r="B111" s="70" t="n"/>
      <c r="C111" s="128" t="n"/>
      <c r="D111" s="129" t="n"/>
      <c r="E111" s="71" t="n"/>
      <c r="F111" s="71" t="n"/>
      <c r="G111" s="71" t="n"/>
      <c r="H111" s="71" t="n"/>
      <c r="I111" s="28">
        <f>IF(OR(C111&lt;&gt;"",D111&lt;&gt;""),I110+IF(C111&lt;&gt;"",C111,0)-IF(D111&lt;&gt;"",D111,0),"")</f>
        <v/>
      </c>
    </row>
    <row r="112" ht="18" customHeight="1">
      <c r="A112" s="56" t="n"/>
      <c r="B112" s="58" t="n"/>
      <c r="C112" s="128" t="n"/>
      <c r="D112" s="129" t="n"/>
      <c r="E112" s="59" t="n"/>
      <c r="F112" s="59" t="n"/>
      <c r="G112" s="59" t="n"/>
      <c r="H112" s="59" t="n"/>
      <c r="I112" s="28">
        <f>IF(OR(C112&lt;&gt;"",D112&lt;&gt;""),I111+IF(C112&lt;&gt;"",C112,0)-IF(D112&lt;&gt;"",D112,0),"")</f>
        <v/>
      </c>
    </row>
    <row r="113" ht="18" customHeight="1">
      <c r="A113" s="68" t="n"/>
      <c r="B113" s="70" t="n"/>
      <c r="C113" s="128" t="n"/>
      <c r="D113" s="129" t="n"/>
      <c r="E113" s="71" t="n"/>
      <c r="F113" s="71" t="n"/>
      <c r="G113" s="71" t="n"/>
      <c r="H113" s="71" t="n"/>
      <c r="I113" s="28">
        <f>IF(OR(C113&lt;&gt;"",D113&lt;&gt;""),I112+IF(C113&lt;&gt;"",C113,0)-IF(D113&lt;&gt;"",D113,0),"")</f>
        <v/>
      </c>
    </row>
    <row r="114" ht="18" customHeight="1">
      <c r="A114" s="56" t="n"/>
      <c r="B114" s="58" t="n"/>
      <c r="C114" s="128" t="n"/>
      <c r="D114" s="129" t="n"/>
      <c r="E114" s="59" t="n"/>
      <c r="F114" s="59" t="n"/>
      <c r="G114" s="59" t="n"/>
      <c r="H114" s="59" t="n"/>
      <c r="I114" s="28">
        <f>IF(OR(C114&lt;&gt;"",D114&lt;&gt;""),I113+IF(C114&lt;&gt;"",C114,0)-IF(D114&lt;&gt;"",D114,0),"")</f>
        <v/>
      </c>
    </row>
    <row r="115" ht="18" customHeight="1">
      <c r="A115" s="68" t="n"/>
      <c r="B115" s="70" t="n"/>
      <c r="C115" s="128" t="n"/>
      <c r="D115" s="129" t="n"/>
      <c r="E115" s="71" t="n"/>
      <c r="F115" s="71" t="n"/>
      <c r="G115" s="71" t="n"/>
      <c r="H115" s="71" t="n"/>
      <c r="I115" s="28">
        <f>IF(OR(C115&lt;&gt;"",D115&lt;&gt;""),I114+IF(C115&lt;&gt;"",C115,0)-IF(D115&lt;&gt;"",D115,0),"")</f>
        <v/>
      </c>
    </row>
    <row r="116" ht="18" customHeight="1">
      <c r="A116" s="56" t="n"/>
      <c r="B116" s="58" t="n"/>
      <c r="C116" s="128" t="n"/>
      <c r="D116" s="129" t="n"/>
      <c r="E116" s="59" t="n"/>
      <c r="F116" s="59" t="n"/>
      <c r="G116" s="59" t="n"/>
      <c r="H116" s="59" t="n"/>
      <c r="I116" s="28">
        <f>IF(OR(C116&lt;&gt;"",D116&lt;&gt;""),I115+IF(C116&lt;&gt;"",C116,0)-IF(D116&lt;&gt;"",D116,0),"")</f>
        <v/>
      </c>
    </row>
    <row r="117" ht="18" customHeight="1">
      <c r="A117" s="68" t="n"/>
      <c r="B117" s="70" t="n"/>
      <c r="C117" s="128" t="n"/>
      <c r="D117" s="129" t="n"/>
      <c r="E117" s="71" t="n"/>
      <c r="F117" s="71" t="n"/>
      <c r="G117" s="71" t="n"/>
      <c r="H117" s="71" t="n"/>
      <c r="I117" s="28">
        <f>IF(OR(C117&lt;&gt;"",D117&lt;&gt;""),I116+IF(C117&lt;&gt;"",C117,0)-IF(D117&lt;&gt;"",D117,0),"")</f>
        <v/>
      </c>
    </row>
    <row r="118" ht="18" customHeight="1">
      <c r="A118" s="56" t="n"/>
      <c r="B118" s="58" t="n"/>
      <c r="C118" s="128" t="n"/>
      <c r="D118" s="129" t="n"/>
      <c r="E118" s="59" t="n"/>
      <c r="F118" s="59" t="n"/>
      <c r="G118" s="59" t="n"/>
      <c r="H118" s="59" t="n"/>
      <c r="I118" s="28">
        <f>IF(OR(C118&lt;&gt;"",D118&lt;&gt;""),I117+IF(C118&lt;&gt;"",C118,0)-IF(D118&lt;&gt;"",D118,0),"")</f>
        <v/>
      </c>
    </row>
    <row r="119" ht="18" customHeight="1">
      <c r="A119" s="68" t="n"/>
      <c r="B119" s="70" t="n"/>
      <c r="C119" s="128" t="n"/>
      <c r="D119" s="129" t="n"/>
      <c r="E119" s="71" t="n"/>
      <c r="F119" s="71" t="n"/>
      <c r="G119" s="71" t="n"/>
      <c r="H119" s="71" t="n"/>
      <c r="I119" s="28">
        <f>IF(OR(C119&lt;&gt;"",D119&lt;&gt;""),I118+IF(C119&lt;&gt;"",C119,0)-IF(D119&lt;&gt;"",D119,0),"")</f>
        <v/>
      </c>
    </row>
    <row r="120" ht="18" customHeight="1">
      <c r="A120" s="56" t="n"/>
      <c r="B120" s="58" t="n"/>
      <c r="C120" s="128" t="n"/>
      <c r="D120" s="129" t="n"/>
      <c r="E120" s="59" t="n"/>
      <c r="F120" s="59" t="n"/>
      <c r="G120" s="59" t="n"/>
      <c r="H120" s="59" t="n"/>
      <c r="I120" s="28">
        <f>IF(OR(C120&lt;&gt;"",D120&lt;&gt;""),I119+IF(C120&lt;&gt;"",C120,0)-IF(D120&lt;&gt;"",D120,0),"")</f>
        <v/>
      </c>
    </row>
    <row r="121" ht="18" customHeight="1">
      <c r="A121" s="68" t="n"/>
      <c r="B121" s="70" t="n"/>
      <c r="C121" s="128" t="n"/>
      <c r="D121" s="129" t="n"/>
      <c r="E121" s="71" t="n"/>
      <c r="F121" s="71" t="n"/>
      <c r="G121" s="71" t="n"/>
      <c r="H121" s="71" t="n"/>
      <c r="I121" s="28">
        <f>IF(OR(C121&lt;&gt;"",D121&lt;&gt;""),I120+IF(C121&lt;&gt;"",C121,0)-IF(D121&lt;&gt;"",D121,0),"")</f>
        <v/>
      </c>
    </row>
    <row r="122" ht="18" customHeight="1">
      <c r="A122" s="56" t="n"/>
      <c r="B122" s="58" t="n"/>
      <c r="C122" s="128" t="n"/>
      <c r="D122" s="129" t="n"/>
      <c r="E122" s="59" t="n"/>
      <c r="F122" s="59" t="n"/>
      <c r="G122" s="59" t="n"/>
      <c r="H122" s="59" t="n"/>
      <c r="I122" s="28">
        <f>IF(OR(C122&lt;&gt;"",D122&lt;&gt;""),I121+IF(C122&lt;&gt;"",C122,0)-IF(D122&lt;&gt;"",D122,0),"")</f>
        <v/>
      </c>
    </row>
    <row r="123" ht="18" customHeight="1">
      <c r="A123" s="68" t="n"/>
      <c r="B123" s="70" t="n"/>
      <c r="C123" s="128" t="n"/>
      <c r="D123" s="129" t="n"/>
      <c r="E123" s="71" t="n"/>
      <c r="F123" s="71" t="n"/>
      <c r="G123" s="71" t="n"/>
      <c r="H123" s="71" t="n"/>
      <c r="I123" s="28">
        <f>IF(OR(C123&lt;&gt;"",D123&lt;&gt;""),I122+IF(C123&lt;&gt;"",C123,0)-IF(D123&lt;&gt;"",D123,0),"")</f>
        <v/>
      </c>
    </row>
    <row r="124" ht="18" customHeight="1">
      <c r="A124" s="56" t="n"/>
      <c r="B124" s="58" t="n"/>
      <c r="C124" s="128" t="n"/>
      <c r="D124" s="129" t="n"/>
      <c r="E124" s="59" t="n"/>
      <c r="F124" s="59" t="n"/>
      <c r="G124" s="59" t="n"/>
      <c r="H124" s="59" t="n"/>
      <c r="I124" s="28">
        <f>IF(OR(C124&lt;&gt;"",D124&lt;&gt;""),I123+IF(C124&lt;&gt;"",C124,0)-IF(D124&lt;&gt;"",D124,0),"")</f>
        <v/>
      </c>
    </row>
    <row r="125" ht="18" customHeight="1">
      <c r="A125" s="68" t="n"/>
      <c r="B125" s="70" t="n"/>
      <c r="C125" s="128" t="n"/>
      <c r="D125" s="129" t="n"/>
      <c r="E125" s="71" t="n"/>
      <c r="F125" s="71" t="n"/>
      <c r="G125" s="71" t="n"/>
      <c r="H125" s="71" t="n"/>
      <c r="I125" s="28">
        <f>IF(OR(C125&lt;&gt;"",D125&lt;&gt;""),I124+IF(C125&lt;&gt;"",C125,0)-IF(D125&lt;&gt;"",D125,0),"")</f>
        <v/>
      </c>
    </row>
    <row r="126" ht="18" customHeight="1">
      <c r="A126" s="56" t="n"/>
      <c r="B126" s="58" t="n"/>
      <c r="C126" s="128" t="n"/>
      <c r="D126" s="129" t="n"/>
      <c r="E126" s="59" t="n"/>
      <c r="F126" s="59" t="n"/>
      <c r="G126" s="59" t="n"/>
      <c r="H126" s="59" t="n"/>
      <c r="I126" s="28">
        <f>IF(OR(C126&lt;&gt;"",D126&lt;&gt;""),I125+IF(C126&lt;&gt;"",C126,0)-IF(D126&lt;&gt;"",D126,0),"")</f>
        <v/>
      </c>
    </row>
    <row r="127" ht="18" customHeight="1">
      <c r="A127" s="68" t="n"/>
      <c r="B127" s="70" t="n"/>
      <c r="C127" s="128" t="n"/>
      <c r="D127" s="129" t="n"/>
      <c r="E127" s="71" t="n"/>
      <c r="F127" s="71" t="n"/>
      <c r="G127" s="71" t="n"/>
      <c r="H127" s="71" t="n"/>
      <c r="I127" s="28">
        <f>IF(OR(C127&lt;&gt;"",D127&lt;&gt;""),I126+IF(C127&lt;&gt;"",C127,0)-IF(D127&lt;&gt;"",D127,0),"")</f>
        <v/>
      </c>
    </row>
    <row r="128" ht="18" customHeight="1">
      <c r="A128" s="56" t="n"/>
      <c r="B128" s="58" t="n"/>
      <c r="C128" s="128" t="n"/>
      <c r="D128" s="129" t="n"/>
      <c r="E128" s="59" t="n"/>
      <c r="F128" s="59" t="n"/>
      <c r="G128" s="59" t="n"/>
      <c r="H128" s="59" t="n"/>
      <c r="I128" s="28">
        <f>IF(OR(C128&lt;&gt;"",D128&lt;&gt;""),I127+IF(C128&lt;&gt;"",C128,0)-IF(D128&lt;&gt;"",D128,0),"")</f>
        <v/>
      </c>
    </row>
    <row r="129" ht="18" customHeight="1">
      <c r="A129" s="68" t="n"/>
      <c r="B129" s="70" t="n"/>
      <c r="C129" s="128" t="n"/>
      <c r="D129" s="129" t="n"/>
      <c r="E129" s="71" t="n"/>
      <c r="F129" s="71" t="n"/>
      <c r="G129" s="71" t="n"/>
      <c r="H129" s="71" t="n"/>
      <c r="I129" s="28">
        <f>IF(OR(C129&lt;&gt;"",D129&lt;&gt;""),I128+IF(C129&lt;&gt;"",C129,0)-IF(D129&lt;&gt;"",D129,0),"")</f>
        <v/>
      </c>
    </row>
    <row r="130" ht="18" customHeight="1">
      <c r="A130" s="56" t="n"/>
      <c r="B130" s="58" t="n"/>
      <c r="C130" s="128" t="n"/>
      <c r="D130" s="129" t="n"/>
      <c r="E130" s="59" t="n"/>
      <c r="F130" s="59" t="n"/>
      <c r="G130" s="59" t="n"/>
      <c r="H130" s="59" t="n"/>
      <c r="I130" s="28">
        <f>IF(OR(C130&lt;&gt;"",D130&lt;&gt;""),I129+IF(C130&lt;&gt;"",C130,0)-IF(D130&lt;&gt;"",D130,0),"")</f>
        <v/>
      </c>
    </row>
    <row r="131" ht="18" customHeight="1">
      <c r="A131" s="68" t="n"/>
      <c r="B131" s="70" t="n"/>
      <c r="C131" s="128" t="n"/>
      <c r="D131" s="129" t="n"/>
      <c r="E131" s="71" t="n"/>
      <c r="F131" s="71" t="n"/>
      <c r="G131" s="71" t="n"/>
      <c r="H131" s="71" t="n"/>
      <c r="I131" s="28">
        <f>IF(OR(C131&lt;&gt;"",D131&lt;&gt;""),I130+IF(C131&lt;&gt;"",C131,0)-IF(D131&lt;&gt;"",D131,0),"")</f>
        <v/>
      </c>
    </row>
    <row r="132" ht="18" customHeight="1">
      <c r="A132" s="56" t="n"/>
      <c r="B132" s="58" t="n"/>
      <c r="C132" s="128" t="n"/>
      <c r="D132" s="129" t="n"/>
      <c r="E132" s="59" t="n"/>
      <c r="F132" s="59" t="n"/>
      <c r="G132" s="59" t="n"/>
      <c r="H132" s="59" t="n"/>
      <c r="I132" s="28">
        <f>IF(OR(C132&lt;&gt;"",D132&lt;&gt;""),I131+IF(C132&lt;&gt;"",C132,0)-IF(D132&lt;&gt;"",D132,0),"")</f>
        <v/>
      </c>
    </row>
    <row r="133" ht="18" customHeight="1">
      <c r="A133" s="68" t="n"/>
      <c r="B133" s="70" t="n"/>
      <c r="C133" s="128" t="n"/>
      <c r="D133" s="129" t="n"/>
      <c r="E133" s="71" t="n"/>
      <c r="F133" s="71" t="n"/>
      <c r="G133" s="71" t="n"/>
      <c r="H133" s="71" t="n"/>
      <c r="I133" s="28">
        <f>IF(OR(C133&lt;&gt;"",D133&lt;&gt;""),I132+IF(C133&lt;&gt;"",C133,0)-IF(D133&lt;&gt;"",D133,0),"")</f>
        <v/>
      </c>
    </row>
    <row r="134" ht="18" customHeight="1">
      <c r="A134" s="56" t="n"/>
      <c r="B134" s="58" t="n"/>
      <c r="C134" s="128" t="n"/>
      <c r="D134" s="129" t="n"/>
      <c r="E134" s="59" t="n"/>
      <c r="F134" s="59" t="n"/>
      <c r="G134" s="59" t="n"/>
      <c r="H134" s="59" t="n"/>
      <c r="I134" s="28">
        <f>IF(OR(C134&lt;&gt;"",D134&lt;&gt;""),I133+IF(C134&lt;&gt;"",C134,0)-IF(D134&lt;&gt;"",D134,0),"")</f>
        <v/>
      </c>
    </row>
    <row r="135" ht="18" customHeight="1">
      <c r="A135" s="68" t="n"/>
      <c r="B135" s="70" t="n"/>
      <c r="C135" s="128" t="n"/>
      <c r="D135" s="129" t="n"/>
      <c r="E135" s="71" t="n"/>
      <c r="F135" s="71" t="n"/>
      <c r="G135" s="71" t="n"/>
      <c r="H135" s="71" t="n"/>
      <c r="I135" s="28">
        <f>IF(OR(C135&lt;&gt;"",D135&lt;&gt;""),I134+IF(C135&lt;&gt;"",C135,0)-IF(D135&lt;&gt;"",D135,0),"")</f>
        <v/>
      </c>
    </row>
    <row r="136" ht="18" customHeight="1">
      <c r="A136" s="56" t="n"/>
      <c r="B136" s="58" t="n"/>
      <c r="C136" s="128" t="n"/>
      <c r="D136" s="129" t="n"/>
      <c r="E136" s="59" t="n"/>
      <c r="F136" s="59" t="n"/>
      <c r="G136" s="59" t="n"/>
      <c r="H136" s="59" t="n"/>
      <c r="I136" s="28">
        <f>IF(OR(C136&lt;&gt;"",D136&lt;&gt;""),I135+IF(C136&lt;&gt;"",C136,0)-IF(D136&lt;&gt;"",D136,0),"")</f>
        <v/>
      </c>
    </row>
    <row r="137" ht="18" customHeight="1">
      <c r="A137" s="68" t="n"/>
      <c r="B137" s="70" t="n"/>
      <c r="C137" s="128" t="n"/>
      <c r="D137" s="129" t="n"/>
      <c r="E137" s="71" t="n"/>
      <c r="F137" s="71" t="n"/>
      <c r="G137" s="71" t="n"/>
      <c r="H137" s="71" t="n"/>
      <c r="I137" s="28">
        <f>IF(OR(C137&lt;&gt;"",D137&lt;&gt;""),I136+IF(C137&lt;&gt;"",C137,0)-IF(D137&lt;&gt;"",D137,0),"")</f>
        <v/>
      </c>
    </row>
    <row r="138" ht="18" customHeight="1">
      <c r="A138" s="56" t="n"/>
      <c r="B138" s="58" t="n"/>
      <c r="C138" s="128" t="n"/>
      <c r="D138" s="129" t="n"/>
      <c r="E138" s="59" t="n"/>
      <c r="F138" s="59" t="n"/>
      <c r="G138" s="59" t="n"/>
      <c r="H138" s="59" t="n"/>
      <c r="I138" s="28">
        <f>IF(OR(C138&lt;&gt;"",D138&lt;&gt;""),I137+IF(C138&lt;&gt;"",C138,0)-IF(D138&lt;&gt;"",D138,0),"")</f>
        <v/>
      </c>
    </row>
    <row r="139" ht="18" customHeight="1">
      <c r="A139" s="68" t="n"/>
      <c r="B139" s="70" t="n"/>
      <c r="C139" s="128" t="n"/>
      <c r="D139" s="129" t="n"/>
      <c r="E139" s="71" t="n"/>
      <c r="F139" s="71" t="n"/>
      <c r="G139" s="71" t="n"/>
      <c r="H139" s="71" t="n"/>
      <c r="I139" s="28">
        <f>IF(OR(C139&lt;&gt;"",D139&lt;&gt;""),I138+IF(C139&lt;&gt;"",C139,0)-IF(D139&lt;&gt;"",D139,0),"")</f>
        <v/>
      </c>
    </row>
    <row r="140" ht="18" customHeight="1">
      <c r="A140" s="56" t="n"/>
      <c r="B140" s="58" t="n"/>
      <c r="C140" s="128" t="n"/>
      <c r="D140" s="129" t="n"/>
      <c r="E140" s="59" t="n"/>
      <c r="F140" s="59" t="n"/>
      <c r="G140" s="59" t="n"/>
      <c r="H140" s="59" t="n"/>
      <c r="I140" s="28">
        <f>IF(OR(C140&lt;&gt;"",D140&lt;&gt;""),I139+IF(C140&lt;&gt;"",C140,0)-IF(D140&lt;&gt;"",D140,0),"")</f>
        <v/>
      </c>
    </row>
    <row r="141" ht="18" customHeight="1">
      <c r="A141" s="68" t="n"/>
      <c r="B141" s="70" t="n"/>
      <c r="C141" s="128" t="n"/>
      <c r="D141" s="129" t="n"/>
      <c r="E141" s="71" t="n"/>
      <c r="F141" s="71" t="n"/>
      <c r="G141" s="71" t="n"/>
      <c r="H141" s="71" t="n"/>
      <c r="I141" s="28">
        <f>IF(OR(C141&lt;&gt;"",D141&lt;&gt;""),I140+IF(C141&lt;&gt;"",C141,0)-IF(D141&lt;&gt;"",D141,0),"")</f>
        <v/>
      </c>
    </row>
    <row r="142" ht="18" customHeight="1">
      <c r="A142" s="56" t="n"/>
      <c r="B142" s="58" t="n"/>
      <c r="C142" s="128" t="n"/>
      <c r="D142" s="129" t="n"/>
      <c r="E142" s="59" t="n"/>
      <c r="F142" s="59" t="n"/>
      <c r="G142" s="59" t="n"/>
      <c r="H142" s="59" t="n"/>
      <c r="I142" s="28">
        <f>IF(OR(C142&lt;&gt;"",D142&lt;&gt;""),I141+IF(C142&lt;&gt;"",C142,0)-IF(D142&lt;&gt;"",D142,0),"")</f>
        <v/>
      </c>
    </row>
    <row r="143" ht="18" customHeight="1">
      <c r="A143" s="68" t="n"/>
      <c r="B143" s="70" t="n"/>
      <c r="C143" s="128" t="n"/>
      <c r="D143" s="129" t="n"/>
      <c r="E143" s="71" t="n"/>
      <c r="F143" s="71" t="n"/>
      <c r="G143" s="71" t="n"/>
      <c r="H143" s="71" t="n"/>
      <c r="I143" s="28">
        <f>IF(OR(C143&lt;&gt;"",D143&lt;&gt;""),I142+IF(C143&lt;&gt;"",C143,0)-IF(D143&lt;&gt;"",D143,0),"")</f>
        <v/>
      </c>
    </row>
    <row r="144" ht="18" customHeight="1">
      <c r="A144" s="56" t="n"/>
      <c r="B144" s="58" t="n"/>
      <c r="C144" s="128" t="n"/>
      <c r="D144" s="129" t="n"/>
      <c r="E144" s="59" t="n"/>
      <c r="F144" s="59" t="n"/>
      <c r="G144" s="59" t="n"/>
      <c r="H144" s="59" t="n"/>
      <c r="I144" s="28">
        <f>IF(OR(C144&lt;&gt;"",D144&lt;&gt;""),I143+IF(C144&lt;&gt;"",C144,0)-IF(D144&lt;&gt;"",D144,0),"")</f>
        <v/>
      </c>
    </row>
    <row r="145" ht="18" customHeight="1">
      <c r="A145" s="68" t="n"/>
      <c r="B145" s="70" t="n"/>
      <c r="C145" s="128" t="n"/>
      <c r="D145" s="129" t="n"/>
      <c r="E145" s="71" t="n"/>
      <c r="F145" s="71" t="n"/>
      <c r="G145" s="71" t="n"/>
      <c r="H145" s="71" t="n"/>
      <c r="I145" s="28">
        <f>IF(OR(C145&lt;&gt;"",D145&lt;&gt;""),I144+IF(C145&lt;&gt;"",C145,0)-IF(D145&lt;&gt;"",D145,0),"")</f>
        <v/>
      </c>
    </row>
    <row r="146" ht="18" customHeight="1">
      <c r="A146" s="56" t="n"/>
      <c r="B146" s="58" t="n"/>
      <c r="C146" s="128" t="n"/>
      <c r="D146" s="129" t="n"/>
      <c r="E146" s="59" t="n"/>
      <c r="F146" s="59" t="n"/>
      <c r="G146" s="59" t="n"/>
      <c r="H146" s="59" t="n"/>
      <c r="I146" s="28">
        <f>IF(OR(C146&lt;&gt;"",D146&lt;&gt;""),I145+IF(C146&lt;&gt;"",C146,0)-IF(D146&lt;&gt;"",D146,0),"")</f>
        <v/>
      </c>
    </row>
    <row r="147" ht="18" customHeight="1">
      <c r="A147" s="68" t="n"/>
      <c r="B147" s="70" t="n"/>
      <c r="C147" s="128" t="n"/>
      <c r="D147" s="129" t="n"/>
      <c r="E147" s="71" t="n"/>
      <c r="F147" s="71" t="n"/>
      <c r="G147" s="71" t="n"/>
      <c r="H147" s="71" t="n"/>
      <c r="I147" s="28">
        <f>IF(OR(C147&lt;&gt;"",D147&lt;&gt;""),I146+IF(C147&lt;&gt;"",C147,0)-IF(D147&lt;&gt;"",D147,0),"")</f>
        <v/>
      </c>
    </row>
    <row r="148" ht="18" customHeight="1">
      <c r="A148" s="56" t="n"/>
      <c r="B148" s="58" t="n"/>
      <c r="C148" s="128" t="n"/>
      <c r="D148" s="129" t="n"/>
      <c r="E148" s="59" t="n"/>
      <c r="F148" s="59" t="n"/>
      <c r="G148" s="59" t="n"/>
      <c r="H148" s="59" t="n"/>
      <c r="I148" s="28">
        <f>IF(OR(C148&lt;&gt;"",D148&lt;&gt;""),I147+IF(C148&lt;&gt;"",C148,0)-IF(D148&lt;&gt;"",D148,0),"")</f>
        <v/>
      </c>
    </row>
    <row r="149" ht="18" customHeight="1">
      <c r="A149" s="68" t="n"/>
      <c r="B149" s="70" t="n"/>
      <c r="C149" s="128" t="n"/>
      <c r="D149" s="129" t="n"/>
      <c r="E149" s="71" t="n"/>
      <c r="F149" s="71" t="n"/>
      <c r="G149" s="71" t="n"/>
      <c r="H149" s="71" t="n"/>
      <c r="I149" s="28">
        <f>IF(OR(C149&lt;&gt;"",D149&lt;&gt;""),I148+IF(C149&lt;&gt;"",C149,0)-IF(D149&lt;&gt;"",D149,0),"")</f>
        <v/>
      </c>
    </row>
    <row r="150" ht="18" customHeight="1">
      <c r="A150" s="56" t="n"/>
      <c r="B150" s="58" t="n"/>
      <c r="C150" s="128" t="n"/>
      <c r="D150" s="129" t="n"/>
      <c r="E150" s="59" t="n"/>
      <c r="F150" s="59" t="n"/>
      <c r="G150" s="59" t="n"/>
      <c r="H150" s="59" t="n"/>
      <c r="I150" s="28">
        <f>IF(OR(C150&lt;&gt;"",D150&lt;&gt;""),I149+IF(C150&lt;&gt;"",C150,0)-IF(D150&lt;&gt;"",D150,0),"")</f>
        <v/>
      </c>
    </row>
    <row r="151" ht="18" customHeight="1">
      <c r="A151" s="68" t="n"/>
      <c r="B151" s="70" t="n"/>
      <c r="C151" s="128" t="n"/>
      <c r="D151" s="129" t="n"/>
      <c r="E151" s="71" t="n"/>
      <c r="F151" s="71" t="n"/>
      <c r="G151" s="71" t="n"/>
      <c r="H151" s="71" t="n"/>
      <c r="I151" s="28">
        <f>IF(OR(C151&lt;&gt;"",D151&lt;&gt;""),I150+IF(C151&lt;&gt;"",C151,0)-IF(D151&lt;&gt;"",D151,0),"")</f>
        <v/>
      </c>
    </row>
    <row r="152" ht="18" customHeight="1">
      <c r="A152" s="56" t="n"/>
      <c r="B152" s="58" t="n"/>
      <c r="C152" s="128" t="n"/>
      <c r="D152" s="129" t="n"/>
      <c r="E152" s="59" t="n"/>
      <c r="F152" s="59" t="n"/>
      <c r="G152" s="59" t="n"/>
      <c r="H152" s="59" t="n"/>
      <c r="I152" s="28">
        <f>IF(OR(C152&lt;&gt;"",D152&lt;&gt;""),I151+IF(C152&lt;&gt;"",C152,0)-IF(D152&lt;&gt;"",D152,0),"")</f>
        <v/>
      </c>
    </row>
    <row r="153" ht="18" customHeight="1">
      <c r="A153" s="68" t="n"/>
      <c r="B153" s="70" t="n"/>
      <c r="C153" s="128" t="n"/>
      <c r="D153" s="129" t="n"/>
      <c r="E153" s="71" t="n"/>
      <c r="F153" s="71" t="n"/>
      <c r="G153" s="71" t="n"/>
      <c r="H153" s="71" t="n"/>
      <c r="I153" s="28">
        <f>IF(OR(C153&lt;&gt;"",D153&lt;&gt;""),I152+IF(C153&lt;&gt;"",C153,0)-IF(D153&lt;&gt;"",D153,0),"")</f>
        <v/>
      </c>
    </row>
    <row r="154" ht="18" customHeight="1">
      <c r="A154" s="56" t="n"/>
      <c r="B154" s="58" t="n"/>
      <c r="C154" s="128" t="n"/>
      <c r="D154" s="129" t="n"/>
      <c r="E154" s="59" t="n"/>
      <c r="F154" s="59" t="n"/>
      <c r="G154" s="59" t="n"/>
      <c r="H154" s="59" t="n"/>
      <c r="I154" s="28">
        <f>IF(OR(C154&lt;&gt;"",D154&lt;&gt;""),I153+IF(C154&lt;&gt;"",C154,0)-IF(D154&lt;&gt;"",D154,0),"")</f>
        <v/>
      </c>
    </row>
    <row r="155" ht="18" customHeight="1">
      <c r="A155" s="68" t="n"/>
      <c r="B155" s="70" t="n"/>
      <c r="C155" s="128" t="n"/>
      <c r="D155" s="129" t="n"/>
      <c r="E155" s="71" t="n"/>
      <c r="F155" s="71" t="n"/>
      <c r="G155" s="71" t="n"/>
      <c r="H155" s="71" t="n"/>
      <c r="I155" s="28">
        <f>IF(OR(C155&lt;&gt;"",D155&lt;&gt;""),I154+IF(C155&lt;&gt;"",C155,0)-IF(D155&lt;&gt;"",D155,0),"")</f>
        <v/>
      </c>
    </row>
    <row r="156" ht="18" customHeight="1">
      <c r="A156" s="56" t="n"/>
      <c r="B156" s="58" t="n"/>
      <c r="C156" s="128" t="n"/>
      <c r="D156" s="129" t="n"/>
      <c r="E156" s="59" t="n"/>
      <c r="F156" s="59" t="n"/>
      <c r="G156" s="59" t="n"/>
      <c r="H156" s="59" t="n"/>
      <c r="I156" s="28">
        <f>IF(OR(C156&lt;&gt;"",D156&lt;&gt;""),I155+IF(C156&lt;&gt;"",C156,0)-IF(D156&lt;&gt;"",D156,0),"")</f>
        <v/>
      </c>
    </row>
    <row r="157" ht="18" customHeight="1">
      <c r="A157" s="68" t="n"/>
      <c r="B157" s="70" t="n"/>
      <c r="C157" s="128" t="n"/>
      <c r="D157" s="129" t="n"/>
      <c r="E157" s="71" t="n"/>
      <c r="F157" s="71" t="n"/>
      <c r="G157" s="71" t="n"/>
      <c r="H157" s="71" t="n"/>
      <c r="I157" s="28">
        <f>IF(OR(C157&lt;&gt;"",D157&lt;&gt;""),I156+IF(C157&lt;&gt;"",C157,0)-IF(D157&lt;&gt;"",D157,0),"")</f>
        <v/>
      </c>
    </row>
    <row r="158" ht="18" customHeight="1">
      <c r="A158" s="56" t="n"/>
      <c r="B158" s="58" t="n"/>
      <c r="C158" s="128" t="n"/>
      <c r="D158" s="129" t="n"/>
      <c r="E158" s="59" t="n"/>
      <c r="F158" s="59" t="n"/>
      <c r="G158" s="59" t="n"/>
      <c r="H158" s="59" t="n"/>
      <c r="I158" s="28">
        <f>IF(OR(C158&lt;&gt;"",D158&lt;&gt;""),I157+IF(C158&lt;&gt;"",C158,0)-IF(D158&lt;&gt;"",D158,0),"")</f>
        <v/>
      </c>
    </row>
    <row r="159" ht="18" customHeight="1">
      <c r="A159" s="68" t="n"/>
      <c r="B159" s="70" t="n"/>
      <c r="C159" s="128" t="n"/>
      <c r="D159" s="129" t="n"/>
      <c r="E159" s="71" t="n"/>
      <c r="F159" s="71" t="n"/>
      <c r="G159" s="71" t="n"/>
      <c r="H159" s="71" t="n"/>
      <c r="I159" s="28">
        <f>IF(OR(C159&lt;&gt;"",D159&lt;&gt;""),I158+IF(C159&lt;&gt;"",C159,0)-IF(D159&lt;&gt;"",D159,0),"")</f>
        <v/>
      </c>
    </row>
    <row r="160" ht="18" customHeight="1">
      <c r="A160" s="56" t="n"/>
      <c r="B160" s="58" t="n"/>
      <c r="C160" s="128" t="n"/>
      <c r="D160" s="129" t="n"/>
      <c r="E160" s="59" t="n"/>
      <c r="F160" s="59" t="n"/>
      <c r="G160" s="59" t="n"/>
      <c r="H160" s="59" t="n"/>
      <c r="I160" s="28">
        <f>IF(OR(C160&lt;&gt;"",D160&lt;&gt;""),I159+IF(C160&lt;&gt;"",C160,0)-IF(D160&lt;&gt;"",D160,0),"")</f>
        <v/>
      </c>
    </row>
    <row r="161" ht="18" customHeight="1">
      <c r="A161" s="68" t="n"/>
      <c r="B161" s="70" t="n"/>
      <c r="C161" s="128" t="n"/>
      <c r="D161" s="129" t="n"/>
      <c r="E161" s="71" t="n"/>
      <c r="F161" s="71" t="n"/>
      <c r="G161" s="71" t="n"/>
      <c r="H161" s="71" t="n"/>
      <c r="I161" s="28">
        <f>IF(OR(C161&lt;&gt;"",D161&lt;&gt;""),I160+IF(C161&lt;&gt;"",C161,0)-IF(D161&lt;&gt;"",D161,0),"")</f>
        <v/>
      </c>
    </row>
    <row r="162" ht="18" customHeight="1">
      <c r="A162" s="56" t="n"/>
      <c r="B162" s="58" t="n"/>
      <c r="C162" s="128" t="n"/>
      <c r="D162" s="129" t="n"/>
      <c r="E162" s="59" t="n"/>
      <c r="F162" s="59" t="n"/>
      <c r="G162" s="59" t="n"/>
      <c r="H162" s="59" t="n"/>
      <c r="I162" s="28">
        <f>IF(OR(C162&lt;&gt;"",D162&lt;&gt;""),I161+IF(C162&lt;&gt;"",C162,0)-IF(D162&lt;&gt;"",D162,0),"")</f>
        <v/>
      </c>
    </row>
    <row r="163" ht="18" customHeight="1">
      <c r="A163" s="68" t="n"/>
      <c r="B163" s="70" t="n"/>
      <c r="C163" s="128" t="n"/>
      <c r="D163" s="129" t="n"/>
      <c r="E163" s="71" t="n"/>
      <c r="F163" s="71" t="n"/>
      <c r="G163" s="71" t="n"/>
      <c r="H163" s="71" t="n"/>
      <c r="I163" s="28">
        <f>IF(OR(C163&lt;&gt;"",D163&lt;&gt;""),I162+IF(C163&lt;&gt;"",C163,0)-IF(D163&lt;&gt;"",D163,0),"")</f>
        <v/>
      </c>
    </row>
    <row r="164" ht="18" customHeight="1">
      <c r="A164" s="56" t="n"/>
      <c r="B164" s="58" t="n"/>
      <c r="C164" s="128" t="n"/>
      <c r="D164" s="129" t="n"/>
      <c r="E164" s="59" t="n"/>
      <c r="F164" s="59" t="n"/>
      <c r="G164" s="59" t="n"/>
      <c r="H164" s="59" t="n"/>
      <c r="I164" s="28">
        <f>IF(OR(C164&lt;&gt;"",D164&lt;&gt;""),I163+IF(C164&lt;&gt;"",C164,0)-IF(D164&lt;&gt;"",D164,0),"")</f>
        <v/>
      </c>
    </row>
    <row r="165" ht="18" customHeight="1">
      <c r="A165" s="68" t="n"/>
      <c r="B165" s="70" t="n"/>
      <c r="C165" s="128" t="n"/>
      <c r="D165" s="129" t="n"/>
      <c r="E165" s="71" t="n"/>
      <c r="F165" s="71" t="n"/>
      <c r="G165" s="71" t="n"/>
      <c r="H165" s="71" t="n"/>
      <c r="I165" s="28">
        <f>IF(OR(C165&lt;&gt;"",D165&lt;&gt;""),I164+IF(C165&lt;&gt;"",C165,0)-IF(D165&lt;&gt;"",D165,0),"")</f>
        <v/>
      </c>
    </row>
    <row r="166" ht="18" customHeight="1">
      <c r="A166" s="56" t="n"/>
      <c r="B166" s="58" t="n"/>
      <c r="C166" s="128" t="n"/>
      <c r="D166" s="129" t="n"/>
      <c r="E166" s="59" t="n"/>
      <c r="F166" s="59" t="n"/>
      <c r="G166" s="59" t="n"/>
      <c r="H166" s="59" t="n"/>
      <c r="I166" s="28">
        <f>IF(OR(C166&lt;&gt;"",D166&lt;&gt;""),I165+IF(C166&lt;&gt;"",C166,0)-IF(D166&lt;&gt;"",D166,0),"")</f>
        <v/>
      </c>
    </row>
    <row r="167" ht="18" customHeight="1">
      <c r="A167" s="68" t="n"/>
      <c r="B167" s="70" t="n"/>
      <c r="C167" s="128" t="n"/>
      <c r="D167" s="129" t="n"/>
      <c r="E167" s="71" t="n"/>
      <c r="F167" s="71" t="n"/>
      <c r="G167" s="71" t="n"/>
      <c r="H167" s="71" t="n"/>
      <c r="I167" s="28">
        <f>IF(OR(C167&lt;&gt;"",D167&lt;&gt;""),I166+IF(C167&lt;&gt;"",C167,0)-IF(D167&lt;&gt;"",D167,0),"")</f>
        <v/>
      </c>
    </row>
    <row r="168" ht="18" customHeight="1">
      <c r="A168" s="56" t="n"/>
      <c r="B168" s="58" t="n"/>
      <c r="C168" s="128" t="n"/>
      <c r="D168" s="129" t="n"/>
      <c r="E168" s="59" t="n"/>
      <c r="F168" s="59" t="n"/>
      <c r="G168" s="59" t="n"/>
      <c r="H168" s="59" t="n"/>
      <c r="I168" s="28">
        <f>IF(OR(C168&lt;&gt;"",D168&lt;&gt;""),I167+IF(C168&lt;&gt;"",C168,0)-IF(D168&lt;&gt;"",D168,0),"")</f>
        <v/>
      </c>
    </row>
    <row r="169" ht="18" customHeight="1">
      <c r="A169" s="68" t="n"/>
      <c r="B169" s="70" t="n"/>
      <c r="C169" s="128" t="n"/>
      <c r="D169" s="129" t="n"/>
      <c r="E169" s="71" t="n"/>
      <c r="F169" s="71" t="n"/>
      <c r="G169" s="71" t="n"/>
      <c r="H169" s="71" t="n"/>
      <c r="I169" s="28">
        <f>IF(OR(C169&lt;&gt;"",D169&lt;&gt;""),I168+IF(C169&lt;&gt;"",C169,0)-IF(D169&lt;&gt;"",D169,0),"")</f>
        <v/>
      </c>
    </row>
    <row r="170" ht="18" customHeight="1">
      <c r="A170" s="56" t="n"/>
      <c r="B170" s="58" t="n"/>
      <c r="C170" s="128" t="n"/>
      <c r="D170" s="129" t="n"/>
      <c r="E170" s="59" t="n"/>
      <c r="F170" s="59" t="n"/>
      <c r="G170" s="59" t="n"/>
      <c r="H170" s="59" t="n"/>
      <c r="I170" s="28">
        <f>IF(OR(C170&lt;&gt;"",D170&lt;&gt;""),I169+IF(C170&lt;&gt;"",C170,0)-IF(D170&lt;&gt;"",D170,0),"")</f>
        <v/>
      </c>
    </row>
    <row r="171" ht="18" customHeight="1">
      <c r="A171" s="68" t="n"/>
      <c r="B171" s="70" t="n"/>
      <c r="C171" s="128" t="n"/>
      <c r="D171" s="129" t="n"/>
      <c r="E171" s="71" t="n"/>
      <c r="F171" s="71" t="n"/>
      <c r="G171" s="71" t="n"/>
      <c r="H171" s="71" t="n"/>
      <c r="I171" s="28">
        <f>IF(OR(C171&lt;&gt;"",D171&lt;&gt;""),I170+IF(C171&lt;&gt;"",C171,0)-IF(D171&lt;&gt;"",D171,0),"")</f>
        <v/>
      </c>
    </row>
    <row r="172" ht="18" customHeight="1">
      <c r="A172" s="56" t="n"/>
      <c r="B172" s="58" t="n"/>
      <c r="C172" s="128" t="n"/>
      <c r="D172" s="129" t="n"/>
      <c r="E172" s="59" t="n"/>
      <c r="F172" s="59" t="n"/>
      <c r="G172" s="59" t="n"/>
      <c r="H172" s="59" t="n"/>
      <c r="I172" s="28">
        <f>IF(OR(C172&lt;&gt;"",D172&lt;&gt;""),I171+IF(C172&lt;&gt;"",C172,0)-IF(D172&lt;&gt;"",D172,0),"")</f>
        <v/>
      </c>
    </row>
    <row r="173" ht="18" customHeight="1">
      <c r="A173" s="68" t="n"/>
      <c r="B173" s="70" t="n"/>
      <c r="C173" s="128" t="n"/>
      <c r="D173" s="129" t="n"/>
      <c r="E173" s="71" t="n"/>
      <c r="F173" s="71" t="n"/>
      <c r="G173" s="71" t="n"/>
      <c r="H173" s="71" t="n"/>
      <c r="I173" s="28">
        <f>IF(OR(C173&lt;&gt;"",D173&lt;&gt;""),I172+IF(C173&lt;&gt;"",C173,0)-IF(D173&lt;&gt;"",D173,0),"")</f>
        <v/>
      </c>
    </row>
    <row r="174" ht="18" customHeight="1">
      <c r="A174" s="56" t="n"/>
      <c r="B174" s="58" t="n"/>
      <c r="C174" s="128" t="n"/>
      <c r="D174" s="129" t="n"/>
      <c r="E174" s="59" t="n"/>
      <c r="F174" s="59" t="n"/>
      <c r="G174" s="59" t="n"/>
      <c r="H174" s="59" t="n"/>
      <c r="I174" s="28">
        <f>IF(OR(C174&lt;&gt;"",D174&lt;&gt;""),I173+IF(C174&lt;&gt;"",C174,0)-IF(D174&lt;&gt;"",D174,0),"")</f>
        <v/>
      </c>
    </row>
    <row r="175" ht="18" customHeight="1">
      <c r="A175" s="68" t="n"/>
      <c r="B175" s="70" t="n"/>
      <c r="C175" s="128" t="n"/>
      <c r="D175" s="129" t="n"/>
      <c r="E175" s="71" t="n"/>
      <c r="F175" s="71" t="n"/>
      <c r="G175" s="71" t="n"/>
      <c r="H175" s="71" t="n"/>
      <c r="I175" s="28">
        <f>IF(OR(C175&lt;&gt;"",D175&lt;&gt;""),I174+IF(C175&lt;&gt;"",C175,0)-IF(D175&lt;&gt;"",D175,0),"")</f>
        <v/>
      </c>
    </row>
    <row r="176" ht="18" customHeight="1">
      <c r="A176" s="56" t="n"/>
      <c r="B176" s="58" t="n"/>
      <c r="C176" s="128" t="n"/>
      <c r="D176" s="129" t="n"/>
      <c r="E176" s="59" t="n"/>
      <c r="F176" s="59" t="n"/>
      <c r="G176" s="59" t="n"/>
      <c r="H176" s="59" t="n"/>
      <c r="I176" s="28">
        <f>IF(OR(C176&lt;&gt;"",D176&lt;&gt;""),I175+IF(C176&lt;&gt;"",C176,0)-IF(D176&lt;&gt;"",D176,0),"")</f>
        <v/>
      </c>
    </row>
    <row r="177" ht="18" customHeight="1">
      <c r="A177" s="68" t="n"/>
      <c r="B177" s="70" t="n"/>
      <c r="C177" s="128" t="n"/>
      <c r="D177" s="129" t="n"/>
      <c r="E177" s="71" t="n"/>
      <c r="F177" s="71" t="n"/>
      <c r="G177" s="71" t="n"/>
      <c r="H177" s="71" t="n"/>
      <c r="I177" s="28">
        <f>IF(OR(C177&lt;&gt;"",D177&lt;&gt;""),I176+IF(C177&lt;&gt;"",C177,0)-IF(D177&lt;&gt;"",D177,0),"")</f>
        <v/>
      </c>
    </row>
    <row r="178" ht="18" customHeight="1">
      <c r="A178" s="56" t="n"/>
      <c r="B178" s="58" t="n"/>
      <c r="C178" s="128" t="n"/>
      <c r="D178" s="129" t="n"/>
      <c r="E178" s="59" t="n"/>
      <c r="F178" s="59" t="n"/>
      <c r="G178" s="59" t="n"/>
      <c r="H178" s="59" t="n"/>
      <c r="I178" s="28">
        <f>IF(OR(C178&lt;&gt;"",D178&lt;&gt;""),I177+IF(C178&lt;&gt;"",C178,0)-IF(D178&lt;&gt;"",D178,0),"")</f>
        <v/>
      </c>
    </row>
    <row r="179" ht="18" customHeight="1">
      <c r="A179" s="68" t="n"/>
      <c r="B179" s="70" t="n"/>
      <c r="C179" s="128" t="n"/>
      <c r="D179" s="129" t="n"/>
      <c r="E179" s="71" t="n"/>
      <c r="F179" s="71" t="n"/>
      <c r="G179" s="71" t="n"/>
      <c r="H179" s="71" t="n"/>
      <c r="I179" s="28">
        <f>IF(OR(C179&lt;&gt;"",D179&lt;&gt;""),I178+IF(C179&lt;&gt;"",C179,0)-IF(D179&lt;&gt;"",D179,0),"")</f>
        <v/>
      </c>
    </row>
    <row r="180" ht="18" customHeight="1">
      <c r="A180" s="56" t="n"/>
      <c r="B180" s="58" t="n"/>
      <c r="C180" s="128" t="n"/>
      <c r="D180" s="129" t="n"/>
      <c r="E180" s="59" t="n"/>
      <c r="F180" s="59" t="n"/>
      <c r="G180" s="59" t="n"/>
      <c r="H180" s="59" t="n"/>
      <c r="I180" s="28">
        <f>IF(OR(C180&lt;&gt;"",D180&lt;&gt;""),I179+IF(C180&lt;&gt;"",C180,0)-IF(D180&lt;&gt;"",D180,0),"")</f>
        <v/>
      </c>
    </row>
    <row r="181" ht="18" customHeight="1">
      <c r="A181" s="68" t="n"/>
      <c r="B181" s="70" t="n"/>
      <c r="C181" s="128" t="n"/>
      <c r="D181" s="129" t="n"/>
      <c r="E181" s="71" t="n"/>
      <c r="F181" s="71" t="n"/>
      <c r="G181" s="71" t="n"/>
      <c r="H181" s="71" t="n"/>
      <c r="I181" s="28">
        <f>IF(OR(C181&lt;&gt;"",D181&lt;&gt;""),I180+IF(C181&lt;&gt;"",C181,0)-IF(D181&lt;&gt;"",D181,0),"")</f>
        <v/>
      </c>
    </row>
    <row r="182" ht="18" customHeight="1">
      <c r="A182" s="56" t="n"/>
      <c r="B182" s="58" t="n"/>
      <c r="C182" s="128" t="n"/>
      <c r="D182" s="129" t="n"/>
      <c r="E182" s="59" t="n"/>
      <c r="F182" s="59" t="n"/>
      <c r="G182" s="59" t="n"/>
      <c r="H182" s="59" t="n"/>
      <c r="I182" s="28">
        <f>IF(OR(C182&lt;&gt;"",D182&lt;&gt;""),I181+IF(C182&lt;&gt;"",C182,0)-IF(D182&lt;&gt;"",D182,0),"")</f>
        <v/>
      </c>
    </row>
    <row r="183" ht="18" customHeight="1">
      <c r="A183" s="68" t="n"/>
      <c r="B183" s="70" t="n"/>
      <c r="C183" s="128" t="n"/>
      <c r="D183" s="129" t="n"/>
      <c r="E183" s="71" t="n"/>
      <c r="F183" s="71" t="n"/>
      <c r="G183" s="71" t="n"/>
      <c r="H183" s="71" t="n"/>
      <c r="I183" s="28">
        <f>IF(OR(C183&lt;&gt;"",D183&lt;&gt;""),I182+IF(C183&lt;&gt;"",C183,0)-IF(D183&lt;&gt;"",D183,0),"")</f>
        <v/>
      </c>
    </row>
    <row r="184" ht="18" customHeight="1">
      <c r="A184" s="56" t="n"/>
      <c r="B184" s="58" t="n"/>
      <c r="C184" s="128" t="n"/>
      <c r="D184" s="129" t="n"/>
      <c r="E184" s="59" t="n"/>
      <c r="F184" s="59" t="n"/>
      <c r="G184" s="59" t="n"/>
      <c r="H184" s="59" t="n"/>
      <c r="I184" s="28">
        <f>IF(OR(C184&lt;&gt;"",D184&lt;&gt;""),I183+IF(C184&lt;&gt;"",C184,0)-IF(D184&lt;&gt;"",D184,0),"")</f>
        <v/>
      </c>
    </row>
    <row r="185" ht="18" customHeight="1">
      <c r="A185" s="68" t="n"/>
      <c r="B185" s="70" t="n"/>
      <c r="C185" s="128" t="n"/>
      <c r="D185" s="129" t="n"/>
      <c r="E185" s="71" t="n"/>
      <c r="F185" s="71" t="n"/>
      <c r="G185" s="71" t="n"/>
      <c r="H185" s="71" t="n"/>
      <c r="I185" s="28">
        <f>IF(OR(C185&lt;&gt;"",D185&lt;&gt;""),I184+IF(C185&lt;&gt;"",C185,0)-IF(D185&lt;&gt;"",D185,0),"")</f>
        <v/>
      </c>
    </row>
    <row r="186" ht="18" customHeight="1">
      <c r="A186" s="56" t="n"/>
      <c r="B186" s="58" t="n"/>
      <c r="C186" s="128" t="n"/>
      <c r="D186" s="129" t="n"/>
      <c r="E186" s="59" t="n"/>
      <c r="F186" s="59" t="n"/>
      <c r="G186" s="59" t="n"/>
      <c r="H186" s="59" t="n"/>
      <c r="I186" s="28">
        <f>IF(OR(C186&lt;&gt;"",D186&lt;&gt;""),I185+IF(C186&lt;&gt;"",C186,0)-IF(D186&lt;&gt;"",D186,0),"")</f>
        <v/>
      </c>
    </row>
    <row r="187" ht="18" customHeight="1">
      <c r="A187" s="68" t="n"/>
      <c r="B187" s="70" t="n"/>
      <c r="C187" s="128" t="n"/>
      <c r="D187" s="129" t="n"/>
      <c r="E187" s="71" t="n"/>
      <c r="F187" s="71" t="n"/>
      <c r="G187" s="71" t="n"/>
      <c r="H187" s="71" t="n"/>
      <c r="I187" s="28">
        <f>IF(OR(C187&lt;&gt;"",D187&lt;&gt;""),I186+IF(C187&lt;&gt;"",C187,0)-IF(D187&lt;&gt;"",D187,0),"")</f>
        <v/>
      </c>
    </row>
    <row r="188" ht="18" customHeight="1">
      <c r="A188" s="56" t="n"/>
      <c r="B188" s="58" t="n"/>
      <c r="C188" s="128" t="n"/>
      <c r="D188" s="129" t="n"/>
      <c r="E188" s="59" t="n"/>
      <c r="F188" s="59" t="n"/>
      <c r="G188" s="59" t="n"/>
      <c r="H188" s="59" t="n"/>
      <c r="I188" s="28">
        <f>IF(OR(C188&lt;&gt;"",D188&lt;&gt;""),I187+IF(C188&lt;&gt;"",C188,0)-IF(D188&lt;&gt;"",D188,0),"")</f>
        <v/>
      </c>
    </row>
    <row r="189" ht="18" customHeight="1">
      <c r="A189" s="68" t="n"/>
      <c r="B189" s="70" t="n"/>
      <c r="C189" s="128" t="n"/>
      <c r="D189" s="129" t="n"/>
      <c r="E189" s="71" t="n"/>
      <c r="F189" s="71" t="n"/>
      <c r="G189" s="71" t="n"/>
      <c r="H189" s="71" t="n"/>
      <c r="I189" s="28">
        <f>IF(OR(C189&lt;&gt;"",D189&lt;&gt;""),I188+IF(C189&lt;&gt;"",C189,0)-IF(D189&lt;&gt;"",D189,0),"")</f>
        <v/>
      </c>
    </row>
    <row r="190" ht="18" customHeight="1">
      <c r="A190" s="56" t="n"/>
      <c r="B190" s="58" t="n"/>
      <c r="C190" s="128" t="n"/>
      <c r="D190" s="129" t="n"/>
      <c r="E190" s="59" t="n"/>
      <c r="F190" s="59" t="n"/>
      <c r="G190" s="59" t="n"/>
      <c r="H190" s="59" t="n"/>
      <c r="I190" s="28">
        <f>IF(OR(C190&lt;&gt;"",D190&lt;&gt;""),I189+IF(C190&lt;&gt;"",C190,0)-IF(D190&lt;&gt;"",D190,0),"")</f>
        <v/>
      </c>
    </row>
    <row r="191" ht="18" customHeight="1">
      <c r="A191" s="68" t="n"/>
      <c r="B191" s="70" t="n"/>
      <c r="C191" s="128" t="n"/>
      <c r="D191" s="129" t="n"/>
      <c r="E191" s="71" t="n"/>
      <c r="F191" s="71" t="n"/>
      <c r="G191" s="71" t="n"/>
      <c r="H191" s="71" t="n"/>
      <c r="I191" s="28">
        <f>IF(OR(C191&lt;&gt;"",D191&lt;&gt;""),I190+IF(C191&lt;&gt;"",C191,0)-IF(D191&lt;&gt;"",D191,0),"")</f>
        <v/>
      </c>
    </row>
    <row r="192" ht="18" customHeight="1">
      <c r="A192" s="56" t="n"/>
      <c r="B192" s="58" t="n"/>
      <c r="C192" s="128" t="n"/>
      <c r="D192" s="129" t="n"/>
      <c r="E192" s="59" t="n"/>
      <c r="F192" s="59" t="n"/>
      <c r="G192" s="59" t="n"/>
      <c r="H192" s="59" t="n"/>
      <c r="I192" s="28">
        <f>IF(OR(C192&lt;&gt;"",D192&lt;&gt;""),I191+IF(C192&lt;&gt;"",C192,0)-IF(D192&lt;&gt;"",D192,0),"")</f>
        <v/>
      </c>
    </row>
    <row r="193" ht="18" customHeight="1">
      <c r="A193" s="68" t="n"/>
      <c r="B193" s="70" t="n"/>
      <c r="C193" s="128" t="n"/>
      <c r="D193" s="129" t="n"/>
      <c r="E193" s="71" t="n"/>
      <c r="F193" s="71" t="n"/>
      <c r="G193" s="71" t="n"/>
      <c r="H193" s="71" t="n"/>
      <c r="I193" s="28">
        <f>IF(OR(C193&lt;&gt;"",D193&lt;&gt;""),I192+IF(C193&lt;&gt;"",C193,0)-IF(D193&lt;&gt;"",D193,0),"")</f>
        <v/>
      </c>
    </row>
    <row r="194" ht="18" customHeight="1">
      <c r="A194" s="56" t="n"/>
      <c r="B194" s="58" t="n"/>
      <c r="C194" s="128" t="n"/>
      <c r="D194" s="129" t="n"/>
      <c r="E194" s="59" t="n"/>
      <c r="F194" s="59" t="n"/>
      <c r="G194" s="59" t="n"/>
      <c r="H194" s="59" t="n"/>
      <c r="I194" s="28">
        <f>IF(OR(C194&lt;&gt;"",D194&lt;&gt;""),I193+IF(C194&lt;&gt;"",C194,0)-IF(D194&lt;&gt;"",D194,0),"")</f>
        <v/>
      </c>
    </row>
    <row r="195" ht="18" customHeight="1">
      <c r="A195" s="68" t="n"/>
      <c r="B195" s="70" t="n"/>
      <c r="C195" s="128" t="n"/>
      <c r="D195" s="129" t="n"/>
      <c r="E195" s="71" t="n"/>
      <c r="F195" s="71" t="n"/>
      <c r="G195" s="71" t="n"/>
      <c r="H195" s="71" t="n"/>
      <c r="I195" s="28">
        <f>IF(OR(C195&lt;&gt;"",D195&lt;&gt;""),I194+IF(C195&lt;&gt;"",C195,0)-IF(D195&lt;&gt;"",D195,0),"")</f>
        <v/>
      </c>
    </row>
    <row r="196" ht="18" customHeight="1">
      <c r="A196" s="56" t="n"/>
      <c r="B196" s="58" t="n"/>
      <c r="C196" s="128" t="n"/>
      <c r="D196" s="129" t="n"/>
      <c r="E196" s="59" t="n"/>
      <c r="F196" s="59" t="n"/>
      <c r="G196" s="59" t="n"/>
      <c r="H196" s="59" t="n"/>
      <c r="I196" s="28">
        <f>IF(OR(C196&lt;&gt;"",D196&lt;&gt;""),I195+IF(C196&lt;&gt;"",C196,0)-IF(D196&lt;&gt;"",D196,0),"")</f>
        <v/>
      </c>
    </row>
    <row r="197" ht="18" customHeight="1">
      <c r="A197" s="68" t="n"/>
      <c r="B197" s="70" t="n"/>
      <c r="C197" s="128" t="n"/>
      <c r="D197" s="129" t="n"/>
      <c r="E197" s="71" t="n"/>
      <c r="F197" s="71" t="n"/>
      <c r="G197" s="71" t="n"/>
      <c r="H197" s="71" t="n"/>
      <c r="I197" s="28">
        <f>IF(OR(C197&lt;&gt;"",D197&lt;&gt;""),I196+IF(C197&lt;&gt;"",C197,0)-IF(D197&lt;&gt;"",D197,0),"")</f>
        <v/>
      </c>
    </row>
    <row r="198" ht="18" customHeight="1">
      <c r="A198" s="56" t="n"/>
      <c r="B198" s="58" t="n"/>
      <c r="C198" s="128" t="n"/>
      <c r="D198" s="129" t="n"/>
      <c r="E198" s="59" t="n"/>
      <c r="F198" s="59" t="n"/>
      <c r="G198" s="59" t="n"/>
      <c r="H198" s="59" t="n"/>
      <c r="I198" s="28">
        <f>IF(OR(C198&lt;&gt;"",D198&lt;&gt;""),I197+IF(C198&lt;&gt;"",C198,0)-IF(D198&lt;&gt;"",D198,0),"")</f>
        <v/>
      </c>
    </row>
    <row r="199" ht="18" customHeight="1">
      <c r="A199" s="68" t="n"/>
      <c r="B199" s="70" t="n"/>
      <c r="C199" s="128" t="n"/>
      <c r="D199" s="129" t="n"/>
      <c r="E199" s="71" t="n"/>
      <c r="F199" s="71" t="n"/>
      <c r="G199" s="71" t="n"/>
      <c r="H199" s="71" t="n"/>
      <c r="I199" s="28">
        <f>IF(OR(C199&lt;&gt;"",D199&lt;&gt;""),I198+IF(C199&lt;&gt;"",C199,0)-IF(D199&lt;&gt;"",D199,0),"")</f>
        <v/>
      </c>
    </row>
    <row r="200" ht="18" customHeight="1">
      <c r="A200" s="56" t="n"/>
      <c r="B200" s="58" t="n"/>
      <c r="C200" s="128" t="n"/>
      <c r="D200" s="129" t="n"/>
      <c r="E200" s="59" t="n"/>
      <c r="F200" s="59" t="n"/>
      <c r="G200" s="59" t="n"/>
      <c r="H200" s="59" t="n"/>
      <c r="I200" s="28">
        <f>IF(OR(C200&lt;&gt;"",D200&lt;&gt;""),I199+IF(C200&lt;&gt;"",C200,0)-IF(D200&lt;&gt;"",D200,0),"")</f>
        <v/>
      </c>
    </row>
    <row r="201" ht="18" customHeight="1">
      <c r="A201" s="68" t="n"/>
      <c r="B201" s="70" t="n"/>
      <c r="C201" s="128" t="n"/>
      <c r="D201" s="129" t="n"/>
      <c r="E201" s="71" t="n"/>
      <c r="F201" s="71" t="n"/>
      <c r="G201" s="71" t="n"/>
      <c r="H201" s="71" t="n"/>
      <c r="I201" s="28">
        <f>IF(OR(C201&lt;&gt;"",D201&lt;&gt;""),I200+IF(C201&lt;&gt;"",C201,0)-IF(D201&lt;&gt;"",D201,0),"")</f>
        <v/>
      </c>
    </row>
    <row r="202" ht="18" customHeight="1">
      <c r="A202" s="56" t="n"/>
      <c r="B202" s="58" t="n"/>
      <c r="C202" s="128" t="n"/>
      <c r="D202" s="129" t="n"/>
      <c r="E202" s="59" t="n"/>
      <c r="F202" s="59" t="n"/>
      <c r="G202" s="59" t="n"/>
      <c r="H202" s="59" t="n"/>
      <c r="I202" s="28">
        <f>IF(OR(C202&lt;&gt;"",D202&lt;&gt;""),I201+IF(C202&lt;&gt;"",C202,0)-IF(D202&lt;&gt;"",D202,0),"")</f>
        <v/>
      </c>
    </row>
    <row r="203" ht="18" customHeight="1">
      <c r="A203" s="68" t="n"/>
      <c r="B203" s="70" t="n"/>
      <c r="C203" s="128" t="n"/>
      <c r="D203" s="129" t="n"/>
      <c r="E203" s="71" t="n"/>
      <c r="F203" s="71" t="n"/>
      <c r="G203" s="71" t="n"/>
      <c r="H203" s="71" t="n"/>
      <c r="I203" s="28">
        <f>IF(OR(C203&lt;&gt;"",D203&lt;&gt;""),I202+IF(C203&lt;&gt;"",C203,0)-IF(D203&lt;&gt;"",D203,0),"")</f>
        <v/>
      </c>
    </row>
    <row r="204" ht="18" customHeight="1">
      <c r="A204" s="56" t="n"/>
      <c r="B204" s="58" t="n"/>
      <c r="C204" s="128" t="n"/>
      <c r="D204" s="129" t="n"/>
      <c r="E204" s="59" t="n"/>
      <c r="F204" s="59" t="n"/>
      <c r="G204" s="59" t="n"/>
      <c r="H204" s="59" t="n"/>
      <c r="I204" s="28">
        <f>IF(OR(C204&lt;&gt;"",D204&lt;&gt;""),I203+IF(C204&lt;&gt;"",C204,0)-IF(D204&lt;&gt;"",D204,0),"")</f>
        <v/>
      </c>
    </row>
    <row r="205" ht="18" customHeight="1">
      <c r="A205" s="68" t="n"/>
      <c r="B205" s="70" t="n"/>
      <c r="C205" s="128" t="n"/>
      <c r="D205" s="129" t="n"/>
      <c r="E205" s="71" t="n"/>
      <c r="F205" s="71" t="n"/>
      <c r="G205" s="71" t="n"/>
      <c r="H205" s="71" t="n"/>
      <c r="I205" s="28">
        <f>IF(OR(C205&lt;&gt;"",D205&lt;&gt;""),I204+IF(C205&lt;&gt;"",C205,0)-IF(D205&lt;&gt;"",D205,0),"")</f>
        <v/>
      </c>
    </row>
    <row r="206" ht="18" customHeight="1">
      <c r="A206" s="56" t="n"/>
      <c r="B206" s="58" t="n"/>
      <c r="C206" s="128" t="n"/>
      <c r="D206" s="129" t="n"/>
      <c r="E206" s="59" t="n"/>
      <c r="F206" s="59" t="n"/>
      <c r="G206" s="59" t="n"/>
      <c r="H206" s="59" t="n"/>
      <c r="I206" s="28">
        <f>IF(OR(C206&lt;&gt;"",D206&lt;&gt;""),I205+IF(C206&lt;&gt;"",C206,0)-IF(D206&lt;&gt;"",D206,0),"")</f>
        <v/>
      </c>
    </row>
    <row r="207" ht="18" customHeight="1">
      <c r="A207" s="68" t="n"/>
      <c r="B207" s="70" t="n"/>
      <c r="C207" s="128" t="n"/>
      <c r="D207" s="129" t="n"/>
      <c r="E207" s="71" t="n"/>
      <c r="F207" s="71" t="n"/>
      <c r="G207" s="71" t="n"/>
      <c r="H207" s="71" t="n"/>
      <c r="I207" s="28">
        <f>IF(OR(C207&lt;&gt;"",D207&lt;&gt;""),I206+IF(C207&lt;&gt;"",C207,0)-IF(D207&lt;&gt;"",D207,0),"")</f>
        <v/>
      </c>
    </row>
    <row r="208" ht="18" customHeight="1">
      <c r="A208" s="56" t="n"/>
      <c r="B208" s="58" t="n"/>
      <c r="C208" s="128" t="n"/>
      <c r="D208" s="129" t="n"/>
      <c r="E208" s="59" t="n"/>
      <c r="F208" s="59" t="n"/>
      <c r="G208" s="59" t="n"/>
      <c r="H208" s="59" t="n"/>
      <c r="I208" s="28">
        <f>IF(OR(C208&lt;&gt;"",D208&lt;&gt;""),I207+IF(C208&lt;&gt;"",C208,0)-IF(D208&lt;&gt;"",D208,0),"")</f>
        <v/>
      </c>
    </row>
    <row r="209" ht="18" customHeight="1">
      <c r="A209" s="68" t="n"/>
      <c r="B209" s="70" t="n"/>
      <c r="C209" s="128" t="n"/>
      <c r="D209" s="129" t="n"/>
      <c r="E209" s="71" t="n"/>
      <c r="F209" s="71" t="n"/>
      <c r="G209" s="71" t="n"/>
      <c r="H209" s="71" t="n"/>
      <c r="I209" s="28">
        <f>IF(OR(C209&lt;&gt;"",D209&lt;&gt;""),I208+IF(C209&lt;&gt;"",C209,0)-IF(D209&lt;&gt;"",D209,0),"")</f>
        <v/>
      </c>
    </row>
    <row r="210" ht="18" customHeight="1">
      <c r="A210" s="56" t="n"/>
      <c r="B210" s="58" t="n"/>
      <c r="C210" s="128" t="n"/>
      <c r="D210" s="129" t="n"/>
      <c r="E210" s="59" t="n"/>
      <c r="F210" s="59" t="n"/>
      <c r="G210" s="59" t="n"/>
      <c r="H210" s="59" t="n"/>
      <c r="I210" s="28">
        <f>IF(OR(C210&lt;&gt;"",D210&lt;&gt;""),I209+IF(C210&lt;&gt;"",C210,0)-IF(D210&lt;&gt;"",D210,0),"")</f>
        <v/>
      </c>
    </row>
    <row r="211" ht="18" customHeight="1">
      <c r="A211" s="68" t="n"/>
      <c r="B211" s="70" t="n"/>
      <c r="C211" s="128" t="n"/>
      <c r="D211" s="129" t="n"/>
      <c r="E211" s="71" t="n"/>
      <c r="F211" s="71" t="n"/>
      <c r="G211" s="71" t="n"/>
      <c r="H211" s="71" t="n"/>
      <c r="I211" s="28">
        <f>IF(OR(C211&lt;&gt;"",D211&lt;&gt;""),I210+IF(C211&lt;&gt;"",C211,0)-IF(D211&lt;&gt;"",D211,0),"")</f>
        <v/>
      </c>
    </row>
    <row r="212" ht="18" customHeight="1">
      <c r="A212" s="56" t="n"/>
      <c r="B212" s="58" t="n"/>
      <c r="C212" s="128" t="n"/>
      <c r="D212" s="129" t="n"/>
      <c r="E212" s="59" t="n"/>
      <c r="F212" s="59" t="n"/>
      <c r="G212" s="59" t="n"/>
      <c r="H212" s="59" t="n"/>
      <c r="I212" s="28">
        <f>IF(OR(C212&lt;&gt;"",D212&lt;&gt;""),I211+IF(C212&lt;&gt;"",C212,0)-IF(D212&lt;&gt;"",D212,0),"")</f>
        <v/>
      </c>
    </row>
    <row r="213" ht="18" customHeight="1">
      <c r="A213" s="68" t="n"/>
      <c r="B213" s="70" t="n"/>
      <c r="C213" s="128" t="n"/>
      <c r="D213" s="129" t="n"/>
      <c r="E213" s="71" t="n"/>
      <c r="F213" s="71" t="n"/>
      <c r="G213" s="71" t="n"/>
      <c r="H213" s="71" t="n"/>
      <c r="I213" s="28">
        <f>IF(OR(C213&lt;&gt;"",D213&lt;&gt;""),I212+IF(C213&lt;&gt;"",C213,0)-IF(D213&lt;&gt;"",D213,0),"")</f>
        <v/>
      </c>
    </row>
    <row r="214" ht="18" customHeight="1">
      <c r="A214" s="56" t="n"/>
      <c r="B214" s="58" t="n"/>
      <c r="C214" s="128" t="n"/>
      <c r="D214" s="129" t="n"/>
      <c r="E214" s="59" t="n"/>
      <c r="F214" s="59" t="n"/>
      <c r="G214" s="59" t="n"/>
      <c r="H214" s="59" t="n"/>
      <c r="I214" s="28">
        <f>IF(OR(C214&lt;&gt;"",D214&lt;&gt;""),I213+IF(C214&lt;&gt;"",C214,0)-IF(D214&lt;&gt;"",D214,0),"")</f>
        <v/>
      </c>
    </row>
    <row r="215" ht="18" customHeight="1">
      <c r="A215" s="68" t="n"/>
      <c r="B215" s="70" t="n"/>
      <c r="C215" s="128" t="n"/>
      <c r="D215" s="129" t="n"/>
      <c r="E215" s="71" t="n"/>
      <c r="F215" s="71" t="n"/>
      <c r="G215" s="71" t="n"/>
      <c r="H215" s="71" t="n"/>
      <c r="I215" s="28">
        <f>IF(OR(C215&lt;&gt;"",D215&lt;&gt;""),I214+IF(C215&lt;&gt;"",C215,0)-IF(D215&lt;&gt;"",D215,0),"")</f>
        <v/>
      </c>
    </row>
    <row r="216" ht="18" customHeight="1">
      <c r="A216" s="56" t="n"/>
      <c r="B216" s="58" t="n"/>
      <c r="C216" s="128" t="n"/>
      <c r="D216" s="129" t="n"/>
      <c r="E216" s="59" t="n"/>
      <c r="F216" s="59" t="n"/>
      <c r="G216" s="59" t="n"/>
      <c r="H216" s="59" t="n"/>
      <c r="I216" s="28">
        <f>IF(OR(C216&lt;&gt;"",D216&lt;&gt;""),I215+IF(C216&lt;&gt;"",C216,0)-IF(D216&lt;&gt;"",D216,0),"")</f>
        <v/>
      </c>
    </row>
    <row r="217" ht="18" customHeight="1">
      <c r="A217" s="68" t="n"/>
      <c r="B217" s="70" t="n"/>
      <c r="C217" s="128" t="n"/>
      <c r="D217" s="129" t="n"/>
      <c r="E217" s="71" t="n"/>
      <c r="F217" s="71" t="n"/>
      <c r="G217" s="71" t="n"/>
      <c r="H217" s="71" t="n"/>
      <c r="I217" s="28">
        <f>IF(OR(C217&lt;&gt;"",D217&lt;&gt;""),I216+IF(C217&lt;&gt;"",C217,0)-IF(D217&lt;&gt;"",D217,0),"")</f>
        <v/>
      </c>
    </row>
    <row r="218" ht="18" customHeight="1">
      <c r="A218" s="56" t="n"/>
      <c r="B218" s="58" t="n"/>
      <c r="C218" s="128" t="n"/>
      <c r="D218" s="129" t="n"/>
      <c r="E218" s="59" t="n"/>
      <c r="F218" s="59" t="n"/>
      <c r="G218" s="59" t="n"/>
      <c r="H218" s="59" t="n"/>
      <c r="I218" s="28">
        <f>IF(OR(C218&lt;&gt;"",D218&lt;&gt;""),I217+IF(C218&lt;&gt;"",C218,0)-IF(D218&lt;&gt;"",D218,0),"")</f>
        <v/>
      </c>
    </row>
    <row r="219" ht="18" customHeight="1">
      <c r="A219" s="68" t="n"/>
      <c r="B219" s="70" t="n"/>
      <c r="C219" s="128" t="n"/>
      <c r="D219" s="129" t="n"/>
      <c r="E219" s="71" t="n"/>
      <c r="F219" s="71" t="n"/>
      <c r="G219" s="71" t="n"/>
      <c r="H219" s="71" t="n"/>
      <c r="I219" s="28">
        <f>IF(OR(C219&lt;&gt;"",D219&lt;&gt;""),I218+IF(C219&lt;&gt;"",C219,0)-IF(D219&lt;&gt;"",D219,0),"")</f>
        <v/>
      </c>
    </row>
    <row r="220" ht="18" customHeight="1">
      <c r="A220" s="56" t="n"/>
      <c r="B220" s="58" t="n"/>
      <c r="C220" s="128" t="n"/>
      <c r="D220" s="129" t="n"/>
      <c r="E220" s="59" t="n"/>
      <c r="F220" s="59" t="n"/>
      <c r="G220" s="59" t="n"/>
      <c r="H220" s="59" t="n"/>
      <c r="I220" s="28">
        <f>IF(OR(C220&lt;&gt;"",D220&lt;&gt;""),I219+IF(C220&lt;&gt;"",C220,0)-IF(D220&lt;&gt;"",D220,0),"")</f>
        <v/>
      </c>
    </row>
    <row r="221" ht="18" customHeight="1">
      <c r="A221" s="68" t="n"/>
      <c r="B221" s="70" t="n"/>
      <c r="C221" s="128" t="n"/>
      <c r="D221" s="129" t="n"/>
      <c r="E221" s="71" t="n"/>
      <c r="F221" s="71" t="n"/>
      <c r="G221" s="71" t="n"/>
      <c r="H221" s="71" t="n"/>
      <c r="I221" s="28">
        <f>IF(OR(C221&lt;&gt;"",D221&lt;&gt;""),I220+IF(C221&lt;&gt;"",C221,0)-IF(D221&lt;&gt;"",D221,0),"")</f>
        <v/>
      </c>
    </row>
    <row r="222" ht="18" customHeight="1">
      <c r="A222" s="56" t="n"/>
      <c r="B222" s="58" t="n"/>
      <c r="C222" s="128" t="n"/>
      <c r="D222" s="129" t="n"/>
      <c r="E222" s="59" t="n"/>
      <c r="F222" s="59" t="n"/>
      <c r="G222" s="59" t="n"/>
      <c r="H222" s="59" t="n"/>
      <c r="I222" s="28">
        <f>IF(OR(C222&lt;&gt;"",D222&lt;&gt;""),I221+IF(C222&lt;&gt;"",C222,0)-IF(D222&lt;&gt;"",D222,0),"")</f>
        <v/>
      </c>
    </row>
    <row r="223" ht="18" customHeight="1">
      <c r="A223" s="68" t="n"/>
      <c r="B223" s="70" t="n"/>
      <c r="C223" s="128" t="n"/>
      <c r="D223" s="129" t="n"/>
      <c r="E223" s="71" t="n"/>
      <c r="F223" s="71" t="n"/>
      <c r="G223" s="71" t="n"/>
      <c r="H223" s="71" t="n"/>
      <c r="I223" s="28">
        <f>IF(OR(C223&lt;&gt;"",D223&lt;&gt;""),I222+IF(C223&lt;&gt;"",C223,0)-IF(D223&lt;&gt;"",D223,0),"")</f>
        <v/>
      </c>
    </row>
    <row r="224" ht="18" customHeight="1">
      <c r="A224" s="56" t="n"/>
      <c r="B224" s="58" t="n"/>
      <c r="C224" s="128" t="n"/>
      <c r="D224" s="129" t="n"/>
      <c r="E224" s="59" t="n"/>
      <c r="F224" s="59" t="n"/>
      <c r="G224" s="59" t="n"/>
      <c r="H224" s="59" t="n"/>
      <c r="I224" s="28">
        <f>IF(OR(C224&lt;&gt;"",D224&lt;&gt;""),I223+IF(C224&lt;&gt;"",C224,0)-IF(D224&lt;&gt;"",D224,0),"")</f>
        <v/>
      </c>
    </row>
    <row r="225" ht="18" customHeight="1">
      <c r="A225" s="68" t="n"/>
      <c r="B225" s="70" t="n"/>
      <c r="C225" s="128" t="n"/>
      <c r="D225" s="129" t="n"/>
      <c r="E225" s="71" t="n"/>
      <c r="F225" s="71" t="n"/>
      <c r="G225" s="71" t="n"/>
      <c r="H225" s="71" t="n"/>
      <c r="I225" s="28">
        <f>IF(OR(C225&lt;&gt;"",D225&lt;&gt;""),I224+IF(C225&lt;&gt;"",C225,0)-IF(D225&lt;&gt;"",D225,0),"")</f>
        <v/>
      </c>
    </row>
    <row r="226" ht="18" customHeight="1">
      <c r="A226" s="56" t="n"/>
      <c r="B226" s="58" t="n"/>
      <c r="C226" s="128" t="n"/>
      <c r="D226" s="129" t="n"/>
      <c r="E226" s="59" t="n"/>
      <c r="F226" s="59" t="n"/>
      <c r="G226" s="59" t="n"/>
      <c r="H226" s="59" t="n"/>
      <c r="I226" s="28">
        <f>IF(OR(C226&lt;&gt;"",D226&lt;&gt;""),I225+IF(C226&lt;&gt;"",C226,0)-IF(D226&lt;&gt;"",D226,0),"")</f>
        <v/>
      </c>
    </row>
    <row r="227" ht="18" customHeight="1">
      <c r="A227" s="68" t="n"/>
      <c r="B227" s="70" t="n"/>
      <c r="C227" s="128" t="n"/>
      <c r="D227" s="129" t="n"/>
      <c r="E227" s="71" t="n"/>
      <c r="F227" s="71" t="n"/>
      <c r="G227" s="71" t="n"/>
      <c r="H227" s="71" t="n"/>
      <c r="I227" s="28">
        <f>IF(OR(C227&lt;&gt;"",D227&lt;&gt;""),I226+IF(C227&lt;&gt;"",C227,0)-IF(D227&lt;&gt;"",D227,0),"")</f>
        <v/>
      </c>
    </row>
    <row r="228" ht="18" customHeight="1">
      <c r="A228" s="56" t="n"/>
      <c r="B228" s="58" t="n"/>
      <c r="C228" s="128" t="n"/>
      <c r="D228" s="129" t="n"/>
      <c r="E228" s="59" t="n"/>
      <c r="F228" s="59" t="n"/>
      <c r="G228" s="59" t="n"/>
      <c r="H228" s="59" t="n"/>
      <c r="I228" s="28">
        <f>IF(OR(C228&lt;&gt;"",D228&lt;&gt;""),I227+IF(C228&lt;&gt;"",C228,0)-IF(D228&lt;&gt;"",D228,0),"")</f>
        <v/>
      </c>
    </row>
    <row r="229" ht="18" customHeight="1">
      <c r="A229" s="68" t="n"/>
      <c r="B229" s="70" t="n"/>
      <c r="C229" s="128" t="n"/>
      <c r="D229" s="129" t="n"/>
      <c r="E229" s="71" t="n"/>
      <c r="F229" s="71" t="n"/>
      <c r="G229" s="71" t="n"/>
      <c r="H229" s="71" t="n"/>
      <c r="I229" s="28">
        <f>IF(OR(C229&lt;&gt;"",D229&lt;&gt;""),I228+IF(C229&lt;&gt;"",C229,0)-IF(D229&lt;&gt;"",D229,0),"")</f>
        <v/>
      </c>
    </row>
    <row r="230" ht="18" customHeight="1">
      <c r="A230" s="56" t="n"/>
      <c r="B230" s="58" t="n"/>
      <c r="C230" s="128" t="n"/>
      <c r="D230" s="129" t="n"/>
      <c r="E230" s="59" t="n"/>
      <c r="F230" s="59" t="n"/>
      <c r="G230" s="59" t="n"/>
      <c r="H230" s="59" t="n"/>
      <c r="I230" s="28">
        <f>IF(OR(C230&lt;&gt;"",D230&lt;&gt;""),I229+IF(C230&lt;&gt;"",C230,0)-IF(D230&lt;&gt;"",D230,0),"")</f>
        <v/>
      </c>
    </row>
    <row r="231" ht="18" customHeight="1">
      <c r="A231" s="68" t="n"/>
      <c r="B231" s="70" t="n"/>
      <c r="C231" s="128" t="n"/>
      <c r="D231" s="129" t="n"/>
      <c r="E231" s="71" t="n"/>
      <c r="F231" s="71" t="n"/>
      <c r="G231" s="71" t="n"/>
      <c r="H231" s="71" t="n"/>
      <c r="I231" s="28">
        <f>IF(OR(C231&lt;&gt;"",D231&lt;&gt;""),I230+IF(C231&lt;&gt;"",C231,0)-IF(D231&lt;&gt;"",D231,0),"")</f>
        <v/>
      </c>
    </row>
    <row r="232" ht="18" customHeight="1">
      <c r="A232" s="56" t="n"/>
      <c r="B232" s="58" t="n"/>
      <c r="C232" s="128" t="n"/>
      <c r="D232" s="129" t="n"/>
      <c r="E232" s="59" t="n"/>
      <c r="F232" s="59" t="n"/>
      <c r="G232" s="59" t="n"/>
      <c r="H232" s="59" t="n"/>
      <c r="I232" s="28">
        <f>IF(OR(C232&lt;&gt;"",D232&lt;&gt;""),I231+IF(C232&lt;&gt;"",C232,0)-IF(D232&lt;&gt;"",D232,0),"")</f>
        <v/>
      </c>
    </row>
    <row r="233" ht="18" customHeight="1">
      <c r="A233" s="68" t="n"/>
      <c r="B233" s="70" t="n"/>
      <c r="C233" s="128" t="n"/>
      <c r="D233" s="129" t="n"/>
      <c r="E233" s="71" t="n"/>
      <c r="F233" s="71" t="n"/>
      <c r="G233" s="71" t="n"/>
      <c r="H233" s="71" t="n"/>
      <c r="I233" s="28">
        <f>IF(OR(C233&lt;&gt;"",D233&lt;&gt;""),I232+IF(C233&lt;&gt;"",C233,0)-IF(D233&lt;&gt;"",D233,0),"")</f>
        <v/>
      </c>
    </row>
    <row r="234" ht="18" customHeight="1">
      <c r="A234" s="56" t="n"/>
      <c r="B234" s="58" t="n"/>
      <c r="C234" s="128" t="n"/>
      <c r="D234" s="129" t="n"/>
      <c r="E234" s="59" t="n"/>
      <c r="F234" s="59" t="n"/>
      <c r="G234" s="59" t="n"/>
      <c r="H234" s="59" t="n"/>
      <c r="I234" s="28">
        <f>IF(OR(C234&lt;&gt;"",D234&lt;&gt;""),I233+IF(C234&lt;&gt;"",C234,0)-IF(D234&lt;&gt;"",D234,0),"")</f>
        <v/>
      </c>
    </row>
    <row r="235" ht="18" customHeight="1">
      <c r="A235" s="68" t="n"/>
      <c r="B235" s="70" t="n"/>
      <c r="C235" s="128" t="n"/>
      <c r="D235" s="129" t="n"/>
      <c r="E235" s="71" t="n"/>
      <c r="F235" s="71" t="n"/>
      <c r="G235" s="71" t="n"/>
      <c r="H235" s="71" t="n"/>
      <c r="I235" s="28">
        <f>IF(OR(C235&lt;&gt;"",D235&lt;&gt;""),I234+IF(C235&lt;&gt;"",C235,0)-IF(D235&lt;&gt;"",D235,0),"")</f>
        <v/>
      </c>
    </row>
    <row r="236" ht="18" customHeight="1">
      <c r="A236" s="56" t="n"/>
      <c r="B236" s="58" t="n"/>
      <c r="C236" s="128" t="n"/>
      <c r="D236" s="129" t="n"/>
      <c r="E236" s="59" t="n"/>
      <c r="F236" s="59" t="n"/>
      <c r="G236" s="59" t="n"/>
      <c r="H236" s="59" t="n"/>
      <c r="I236" s="28">
        <f>IF(OR(C236&lt;&gt;"",D236&lt;&gt;""),I235+IF(C236&lt;&gt;"",C236,0)-IF(D236&lt;&gt;"",D236,0),"")</f>
        <v/>
      </c>
    </row>
    <row r="237" ht="18" customHeight="1">
      <c r="A237" s="68" t="n"/>
      <c r="B237" s="70" t="n"/>
      <c r="C237" s="128" t="n"/>
      <c r="D237" s="129" t="n"/>
      <c r="E237" s="71" t="n"/>
      <c r="F237" s="71" t="n"/>
      <c r="G237" s="71" t="n"/>
      <c r="H237" s="71" t="n"/>
      <c r="I237" s="28">
        <f>IF(OR(C237&lt;&gt;"",D237&lt;&gt;""),I236+IF(C237&lt;&gt;"",C237,0)-IF(D237&lt;&gt;"",D237,0),"")</f>
        <v/>
      </c>
    </row>
    <row r="238" ht="18" customHeight="1">
      <c r="A238" s="56" t="n"/>
      <c r="B238" s="58" t="n"/>
      <c r="C238" s="128" t="n"/>
      <c r="D238" s="129" t="n"/>
      <c r="E238" s="59" t="n"/>
      <c r="F238" s="59" t="n"/>
      <c r="G238" s="59" t="n"/>
      <c r="H238" s="59" t="n"/>
      <c r="I238" s="28">
        <f>IF(OR(C238&lt;&gt;"",D238&lt;&gt;""),I237+IF(C238&lt;&gt;"",C238,0)-IF(D238&lt;&gt;"",D238,0),"")</f>
        <v/>
      </c>
    </row>
    <row r="239" ht="18" customHeight="1">
      <c r="A239" s="68" t="n"/>
      <c r="B239" s="70" t="n"/>
      <c r="C239" s="128" t="n"/>
      <c r="D239" s="129" t="n"/>
      <c r="E239" s="71" t="n"/>
      <c r="F239" s="71" t="n"/>
      <c r="G239" s="71" t="n"/>
      <c r="H239" s="71" t="n"/>
      <c r="I239" s="28">
        <f>IF(OR(C239&lt;&gt;"",D239&lt;&gt;""),I238+IF(C239&lt;&gt;"",C239,0)-IF(D239&lt;&gt;"",D239,0),"")</f>
        <v/>
      </c>
    </row>
    <row r="240" ht="18" customHeight="1">
      <c r="A240" s="56" t="n"/>
      <c r="B240" s="58" t="n"/>
      <c r="C240" s="128" t="n"/>
      <c r="D240" s="129" t="n"/>
      <c r="E240" s="59" t="n"/>
      <c r="F240" s="59" t="n"/>
      <c r="G240" s="59" t="n"/>
      <c r="H240" s="59" t="n"/>
      <c r="I240" s="28">
        <f>IF(OR(C240&lt;&gt;"",D240&lt;&gt;""),I239+IF(C240&lt;&gt;"",C240,0)-IF(D240&lt;&gt;"",D240,0),"")</f>
        <v/>
      </c>
    </row>
    <row r="241" ht="18" customHeight="1">
      <c r="A241" s="68" t="n"/>
      <c r="B241" s="70" t="n"/>
      <c r="C241" s="128" t="n"/>
      <c r="D241" s="129" t="n"/>
      <c r="E241" s="71" t="n"/>
      <c r="F241" s="71" t="n"/>
      <c r="G241" s="71" t="n"/>
      <c r="H241" s="71" t="n"/>
      <c r="I241" s="28">
        <f>IF(OR(C241&lt;&gt;"",D241&lt;&gt;""),I240+IF(C241&lt;&gt;"",C241,0)-IF(D241&lt;&gt;"",D241,0),"")</f>
        <v/>
      </c>
    </row>
    <row r="242" ht="18" customHeight="1">
      <c r="A242" s="56" t="n"/>
      <c r="B242" s="58" t="n"/>
      <c r="C242" s="128" t="n"/>
      <c r="D242" s="129" t="n"/>
      <c r="E242" s="59" t="n"/>
      <c r="F242" s="59" t="n"/>
      <c r="G242" s="59" t="n"/>
      <c r="H242" s="59" t="n"/>
      <c r="I242" s="28">
        <f>IF(OR(C242&lt;&gt;"",D242&lt;&gt;""),I241+IF(C242&lt;&gt;"",C242,0)-IF(D242&lt;&gt;"",D242,0),"")</f>
        <v/>
      </c>
    </row>
    <row r="243" ht="18" customHeight="1">
      <c r="A243" s="68" t="n"/>
      <c r="B243" s="70" t="n"/>
      <c r="C243" s="128" t="n"/>
      <c r="D243" s="129" t="n"/>
      <c r="E243" s="71" t="n"/>
      <c r="F243" s="71" t="n"/>
      <c r="G243" s="71" t="n"/>
      <c r="H243" s="71" t="n"/>
      <c r="I243" s="28">
        <f>IF(OR(C243&lt;&gt;"",D243&lt;&gt;""),I242+IF(C243&lt;&gt;"",C243,0)-IF(D243&lt;&gt;"",D243,0),"")</f>
        <v/>
      </c>
    </row>
    <row r="244" ht="18" customHeight="1">
      <c r="A244" s="56" t="n"/>
      <c r="B244" s="58" t="n"/>
      <c r="C244" s="128" t="n"/>
      <c r="D244" s="129" t="n"/>
      <c r="E244" s="59" t="n"/>
      <c r="F244" s="59" t="n"/>
      <c r="G244" s="59" t="n"/>
      <c r="H244" s="59" t="n"/>
      <c r="I244" s="28">
        <f>IF(OR(C244&lt;&gt;"",D244&lt;&gt;""),I243+IF(C244&lt;&gt;"",C244,0)-IF(D244&lt;&gt;"",D244,0),"")</f>
        <v/>
      </c>
    </row>
    <row r="245" ht="18" customHeight="1">
      <c r="A245" s="68" t="n"/>
      <c r="B245" s="70" t="n"/>
      <c r="C245" s="128" t="n"/>
      <c r="D245" s="129" t="n"/>
      <c r="E245" s="71" t="n"/>
      <c r="F245" s="71" t="n"/>
      <c r="G245" s="71" t="n"/>
      <c r="H245" s="71" t="n"/>
      <c r="I245" s="28">
        <f>IF(OR(C245&lt;&gt;"",D245&lt;&gt;""),I244+IF(C245&lt;&gt;"",C245,0)-IF(D245&lt;&gt;"",D245,0),"")</f>
        <v/>
      </c>
    </row>
    <row r="246" ht="18" customHeight="1">
      <c r="A246" s="56" t="n"/>
      <c r="B246" s="58" t="n"/>
      <c r="C246" s="128" t="n"/>
      <c r="D246" s="129" t="n"/>
      <c r="E246" s="59" t="n"/>
      <c r="F246" s="59" t="n"/>
      <c r="G246" s="59" t="n"/>
      <c r="H246" s="59" t="n"/>
      <c r="I246" s="28">
        <f>IF(OR(C246&lt;&gt;"",D246&lt;&gt;""),I245+IF(C246&lt;&gt;"",C246,0)-IF(D246&lt;&gt;"",D246,0),"")</f>
        <v/>
      </c>
    </row>
    <row r="247" ht="18" customHeight="1">
      <c r="A247" s="68" t="n"/>
      <c r="B247" s="70" t="n"/>
      <c r="C247" s="128" t="n"/>
      <c r="D247" s="129" t="n"/>
      <c r="E247" s="71" t="n"/>
      <c r="F247" s="71" t="n"/>
      <c r="G247" s="71" t="n"/>
      <c r="H247" s="71" t="n"/>
      <c r="I247" s="28">
        <f>IF(OR(C247&lt;&gt;"",D247&lt;&gt;""),I246+IF(C247&lt;&gt;"",C247,0)-IF(D247&lt;&gt;"",D247,0),"")</f>
        <v/>
      </c>
    </row>
    <row r="248" ht="18" customHeight="1">
      <c r="A248" s="56" t="n"/>
      <c r="B248" s="58" t="n"/>
      <c r="C248" s="128" t="n"/>
      <c r="D248" s="129" t="n"/>
      <c r="E248" s="59" t="n"/>
      <c r="F248" s="59" t="n"/>
      <c r="G248" s="59" t="n"/>
      <c r="H248" s="59" t="n"/>
      <c r="I248" s="28">
        <f>IF(OR(C248&lt;&gt;"",D248&lt;&gt;""),I247+IF(C248&lt;&gt;"",C248,0)-IF(D248&lt;&gt;"",D248,0),"")</f>
        <v/>
      </c>
    </row>
    <row r="249" ht="18" customHeight="1">
      <c r="A249" s="68" t="n"/>
      <c r="B249" s="70" t="n"/>
      <c r="C249" s="128" t="n"/>
      <c r="D249" s="129" t="n"/>
      <c r="E249" s="71" t="n"/>
      <c r="F249" s="71" t="n"/>
      <c r="G249" s="71" t="n"/>
      <c r="H249" s="71" t="n"/>
      <c r="I249" s="28">
        <f>IF(OR(C249&lt;&gt;"",D249&lt;&gt;""),I248+IF(C249&lt;&gt;"",C249,0)-IF(D249&lt;&gt;"",D249,0),"")</f>
        <v/>
      </c>
    </row>
    <row r="250" ht="18" customHeight="1">
      <c r="A250" s="56" t="n"/>
      <c r="B250" s="58" t="n"/>
      <c r="C250" s="128" t="n"/>
      <c r="D250" s="129" t="n"/>
      <c r="E250" s="59" t="n"/>
      <c r="F250" s="59" t="n"/>
      <c r="G250" s="59" t="n"/>
      <c r="H250" s="59" t="n"/>
      <c r="I250" s="28">
        <f>IF(OR(C250&lt;&gt;"",D250&lt;&gt;""),I249+IF(C250&lt;&gt;"",C250,0)-IF(D250&lt;&gt;"",D250,0),"")</f>
        <v/>
      </c>
    </row>
    <row r="251" ht="18" customHeight="1">
      <c r="A251" s="68" t="n"/>
      <c r="B251" s="70" t="n"/>
      <c r="C251" s="128" t="n"/>
      <c r="D251" s="129" t="n"/>
      <c r="E251" s="71" t="n"/>
      <c r="F251" s="71" t="n"/>
      <c r="G251" s="71" t="n"/>
      <c r="H251" s="71" t="n"/>
      <c r="I251" s="28">
        <f>IF(OR(C251&lt;&gt;"",D251&lt;&gt;""),I250+IF(C251&lt;&gt;"",C251,0)-IF(D251&lt;&gt;"",D251,0),"")</f>
        <v/>
      </c>
    </row>
    <row r="252" ht="18" customHeight="1">
      <c r="A252" s="56" t="n"/>
      <c r="B252" s="58" t="n"/>
      <c r="C252" s="128" t="n"/>
      <c r="D252" s="129" t="n"/>
      <c r="E252" s="59" t="n"/>
      <c r="F252" s="59" t="n"/>
      <c r="G252" s="59" t="n"/>
      <c r="H252" s="59" t="n"/>
      <c r="I252" s="28">
        <f>IF(OR(C252&lt;&gt;"",D252&lt;&gt;""),I251+IF(C252&lt;&gt;"",C252,0)-IF(D252&lt;&gt;"",D252,0),"")</f>
        <v/>
      </c>
    </row>
    <row r="253" ht="18" customHeight="1">
      <c r="A253" s="68" t="n"/>
      <c r="B253" s="70" t="n"/>
      <c r="C253" s="128" t="n"/>
      <c r="D253" s="129" t="n"/>
      <c r="E253" s="71" t="n"/>
      <c r="F253" s="71" t="n"/>
      <c r="G253" s="71" t="n"/>
      <c r="H253" s="71" t="n"/>
      <c r="I253" s="28">
        <f>IF(OR(C253&lt;&gt;"",D253&lt;&gt;""),I252+IF(C253&lt;&gt;"",C253,0)-IF(D253&lt;&gt;"",D253,0),"")</f>
        <v/>
      </c>
    </row>
    <row r="254" ht="18" customHeight="1">
      <c r="A254" s="56" t="n"/>
      <c r="B254" s="58" t="n"/>
      <c r="C254" s="128" t="n"/>
      <c r="D254" s="129" t="n"/>
      <c r="E254" s="59" t="n"/>
      <c r="F254" s="59" t="n"/>
      <c r="G254" s="59" t="n"/>
      <c r="H254" s="59" t="n"/>
      <c r="I254" s="28">
        <f>IF(OR(C254&lt;&gt;"",D254&lt;&gt;""),I253+IF(C254&lt;&gt;"",C254,0)-IF(D254&lt;&gt;"",D254,0),"")</f>
        <v/>
      </c>
    </row>
    <row r="255" ht="18" customHeight="1">
      <c r="A255" s="68" t="n"/>
      <c r="B255" s="70" t="n"/>
      <c r="C255" s="128" t="n"/>
      <c r="D255" s="129" t="n"/>
      <c r="E255" s="71" t="n"/>
      <c r="F255" s="71" t="n"/>
      <c r="G255" s="71" t="n"/>
      <c r="H255" s="71" t="n"/>
      <c r="I255" s="28">
        <f>IF(OR(C255&lt;&gt;"",D255&lt;&gt;""),I254+IF(C255&lt;&gt;"",C255,0)-IF(D255&lt;&gt;"",D255,0),"")</f>
        <v/>
      </c>
    </row>
    <row r="256" ht="18" customHeight="1">
      <c r="A256" s="56" t="n"/>
      <c r="B256" s="58" t="n"/>
      <c r="C256" s="128" t="n"/>
      <c r="D256" s="129" t="n"/>
      <c r="E256" s="59" t="n"/>
      <c r="F256" s="59" t="n"/>
      <c r="G256" s="59" t="n"/>
      <c r="H256" s="59" t="n"/>
      <c r="I256" s="28">
        <f>IF(OR(C256&lt;&gt;"",D256&lt;&gt;""),I255+IF(C256&lt;&gt;"",C256,0)-IF(D256&lt;&gt;"",D256,0),"")</f>
        <v/>
      </c>
    </row>
    <row r="257" ht="18" customHeight="1">
      <c r="A257" s="68" t="n"/>
      <c r="B257" s="70" t="n"/>
      <c r="C257" s="128" t="n"/>
      <c r="D257" s="129" t="n"/>
      <c r="E257" s="71" t="n"/>
      <c r="F257" s="71" t="n"/>
      <c r="G257" s="71" t="n"/>
      <c r="H257" s="71" t="n"/>
      <c r="I257" s="28">
        <f>IF(OR(C257&lt;&gt;"",D257&lt;&gt;""),I256+IF(C257&lt;&gt;"",C257,0)-IF(D257&lt;&gt;"",D257,0),"")</f>
        <v/>
      </c>
    </row>
    <row r="258" ht="18" customHeight="1">
      <c r="A258" s="56" t="n"/>
      <c r="B258" s="58" t="n"/>
      <c r="C258" s="128" t="n"/>
      <c r="D258" s="129" t="n"/>
      <c r="E258" s="59" t="n"/>
      <c r="F258" s="59" t="n"/>
      <c r="G258" s="59" t="n"/>
      <c r="H258" s="59" t="n"/>
      <c r="I258" s="28">
        <f>IF(OR(C258&lt;&gt;"",D258&lt;&gt;""),I257+IF(C258&lt;&gt;"",C258,0)-IF(D258&lt;&gt;"",D258,0),"")</f>
        <v/>
      </c>
    </row>
    <row r="259" ht="18" customHeight="1">
      <c r="A259" s="68" t="n"/>
      <c r="B259" s="70" t="n"/>
      <c r="C259" s="128" t="n"/>
      <c r="D259" s="129" t="n"/>
      <c r="E259" s="71" t="n"/>
      <c r="F259" s="71" t="n"/>
      <c r="G259" s="71" t="n"/>
      <c r="H259" s="71" t="n"/>
      <c r="I259" s="28">
        <f>IF(OR(C259&lt;&gt;"",D259&lt;&gt;""),I258+IF(C259&lt;&gt;"",C259,0)-IF(D259&lt;&gt;"",D259,0),"")</f>
        <v/>
      </c>
    </row>
    <row r="260" ht="18" customHeight="1">
      <c r="A260" s="56" t="n"/>
      <c r="B260" s="58" t="n"/>
      <c r="C260" s="128" t="n"/>
      <c r="D260" s="129" t="n"/>
      <c r="E260" s="59" t="n"/>
      <c r="F260" s="59" t="n"/>
      <c r="G260" s="59" t="n"/>
      <c r="H260" s="59" t="n"/>
      <c r="I260" s="28">
        <f>IF(OR(C260&lt;&gt;"",D260&lt;&gt;""),I259+IF(C260&lt;&gt;"",C260,0)-IF(D260&lt;&gt;"",D260,0),"")</f>
        <v/>
      </c>
    </row>
    <row r="261" ht="18" customHeight="1">
      <c r="A261" s="68" t="n"/>
      <c r="B261" s="70" t="n"/>
      <c r="C261" s="128" t="n"/>
      <c r="D261" s="129" t="n"/>
      <c r="E261" s="71" t="n"/>
      <c r="F261" s="71" t="n"/>
      <c r="G261" s="71" t="n"/>
      <c r="H261" s="71" t="n"/>
      <c r="I261" s="28">
        <f>IF(OR(C261&lt;&gt;"",D261&lt;&gt;""),I260+IF(C261&lt;&gt;"",C261,0)-IF(D261&lt;&gt;"",D261,0),"")</f>
        <v/>
      </c>
    </row>
    <row r="262" ht="18" customHeight="1">
      <c r="A262" s="56" t="n"/>
      <c r="B262" s="58" t="n"/>
      <c r="C262" s="128" t="n"/>
      <c r="D262" s="129" t="n"/>
      <c r="E262" s="59" t="n"/>
      <c r="F262" s="59" t="n"/>
      <c r="G262" s="59" t="n"/>
      <c r="H262" s="59" t="n"/>
      <c r="I262" s="28">
        <f>IF(OR(C262&lt;&gt;"",D262&lt;&gt;""),I261+IF(C262&lt;&gt;"",C262,0)-IF(D262&lt;&gt;"",D262,0),"")</f>
        <v/>
      </c>
    </row>
    <row r="263" ht="18" customHeight="1">
      <c r="A263" s="68" t="n"/>
      <c r="B263" s="70" t="n"/>
      <c r="C263" s="128" t="n"/>
      <c r="D263" s="129" t="n"/>
      <c r="E263" s="71" t="n"/>
      <c r="F263" s="71" t="n"/>
      <c r="G263" s="71" t="n"/>
      <c r="H263" s="71" t="n"/>
      <c r="I263" s="28">
        <f>IF(OR(C263&lt;&gt;"",D263&lt;&gt;""),I262+IF(C263&lt;&gt;"",C263,0)-IF(D263&lt;&gt;"",D263,0),"")</f>
        <v/>
      </c>
    </row>
    <row r="264" ht="18" customHeight="1">
      <c r="A264" s="56" t="n"/>
      <c r="B264" s="58" t="n"/>
      <c r="C264" s="128" t="n"/>
      <c r="D264" s="129" t="n"/>
      <c r="E264" s="59" t="n"/>
      <c r="F264" s="59" t="n"/>
      <c r="G264" s="59" t="n"/>
      <c r="H264" s="59" t="n"/>
      <c r="I264" s="28">
        <f>IF(OR(C264&lt;&gt;"",D264&lt;&gt;""),I263+IF(C264&lt;&gt;"",C264,0)-IF(D264&lt;&gt;"",D264,0),"")</f>
        <v/>
      </c>
    </row>
    <row r="265" ht="18" customHeight="1">
      <c r="A265" s="68" t="n"/>
      <c r="B265" s="70" t="n"/>
      <c r="C265" s="128" t="n"/>
      <c r="D265" s="129" t="n"/>
      <c r="E265" s="71" t="n"/>
      <c r="F265" s="71" t="n"/>
      <c r="G265" s="71" t="n"/>
      <c r="H265" s="71" t="n"/>
      <c r="I265" s="28">
        <f>IF(OR(C265&lt;&gt;"",D265&lt;&gt;""),I264+IF(C265&lt;&gt;"",C265,0)-IF(D265&lt;&gt;"",D265,0),"")</f>
        <v/>
      </c>
    </row>
    <row r="266" ht="18" customHeight="1">
      <c r="A266" s="56" t="n"/>
      <c r="B266" s="58" t="n"/>
      <c r="C266" s="128" t="n"/>
      <c r="D266" s="129" t="n"/>
      <c r="E266" s="59" t="n"/>
      <c r="F266" s="59" t="n"/>
      <c r="G266" s="59" t="n"/>
      <c r="H266" s="59" t="n"/>
      <c r="I266" s="28">
        <f>IF(OR(C266&lt;&gt;"",D266&lt;&gt;""),I265+IF(C266&lt;&gt;"",C266,0)-IF(D266&lt;&gt;"",D266,0),"")</f>
        <v/>
      </c>
    </row>
    <row r="267" ht="18" customHeight="1">
      <c r="A267" s="68" t="n"/>
      <c r="B267" s="70" t="n"/>
      <c r="C267" s="128" t="n"/>
      <c r="D267" s="129" t="n"/>
      <c r="E267" s="71" t="n"/>
      <c r="F267" s="71" t="n"/>
      <c r="G267" s="71" t="n"/>
      <c r="H267" s="71" t="n"/>
      <c r="I267" s="28">
        <f>IF(OR(C267&lt;&gt;"",D267&lt;&gt;""),I266+IF(C267&lt;&gt;"",C267,0)-IF(D267&lt;&gt;"",D267,0),"")</f>
        <v/>
      </c>
    </row>
    <row r="268" ht="18" customHeight="1">
      <c r="A268" s="56" t="n"/>
      <c r="B268" s="58" t="n"/>
      <c r="C268" s="128" t="n"/>
      <c r="D268" s="129" t="n"/>
      <c r="E268" s="59" t="n"/>
      <c r="F268" s="59" t="n"/>
      <c r="G268" s="59" t="n"/>
      <c r="H268" s="59" t="n"/>
      <c r="I268" s="28">
        <f>IF(OR(C268&lt;&gt;"",D268&lt;&gt;""),I267+IF(C268&lt;&gt;"",C268,0)-IF(D268&lt;&gt;"",D268,0),"")</f>
        <v/>
      </c>
    </row>
    <row r="269" ht="18" customHeight="1">
      <c r="A269" s="68" t="n"/>
      <c r="B269" s="70" t="n"/>
      <c r="C269" s="128" t="n"/>
      <c r="D269" s="129" t="n"/>
      <c r="E269" s="71" t="n"/>
      <c r="F269" s="71" t="n"/>
      <c r="G269" s="71" t="n"/>
      <c r="H269" s="71" t="n"/>
      <c r="I269" s="28">
        <f>IF(OR(C269&lt;&gt;"",D269&lt;&gt;""),I268+IF(C269&lt;&gt;"",C269,0)-IF(D269&lt;&gt;"",D269,0),"")</f>
        <v/>
      </c>
    </row>
    <row r="270" ht="18" customHeight="1">
      <c r="A270" s="56" t="n"/>
      <c r="B270" s="58" t="n"/>
      <c r="C270" s="128" t="n"/>
      <c r="D270" s="129" t="n"/>
      <c r="E270" s="59" t="n"/>
      <c r="F270" s="59" t="n"/>
      <c r="G270" s="59" t="n"/>
      <c r="H270" s="59" t="n"/>
      <c r="I270" s="28">
        <f>IF(OR(C270&lt;&gt;"",D270&lt;&gt;""),I269+IF(C270&lt;&gt;"",C270,0)-IF(D270&lt;&gt;"",D270,0),"")</f>
        <v/>
      </c>
    </row>
    <row r="271" ht="18" customHeight="1">
      <c r="A271" s="68" t="n"/>
      <c r="B271" s="70" t="n"/>
      <c r="C271" s="128" t="n"/>
      <c r="D271" s="129" t="n"/>
      <c r="E271" s="71" t="n"/>
      <c r="F271" s="71" t="n"/>
      <c r="G271" s="71" t="n"/>
      <c r="H271" s="71" t="n"/>
      <c r="I271" s="28">
        <f>IF(OR(C271&lt;&gt;"",D271&lt;&gt;""),I270+IF(C271&lt;&gt;"",C271,0)-IF(D271&lt;&gt;"",D271,0),"")</f>
        <v/>
      </c>
    </row>
    <row r="272" ht="18" customHeight="1">
      <c r="A272" s="56" t="n"/>
      <c r="B272" s="58" t="n"/>
      <c r="C272" s="128" t="n"/>
      <c r="D272" s="129" t="n"/>
      <c r="E272" s="59" t="n"/>
      <c r="F272" s="59" t="n"/>
      <c r="G272" s="59" t="n"/>
      <c r="H272" s="59" t="n"/>
      <c r="I272" s="28">
        <f>IF(OR(C272&lt;&gt;"",D272&lt;&gt;""),I271+IF(C272&lt;&gt;"",C272,0)-IF(D272&lt;&gt;"",D272,0),"")</f>
        <v/>
      </c>
    </row>
    <row r="273" ht="18" customHeight="1">
      <c r="A273" s="68" t="n"/>
      <c r="B273" s="70" t="n"/>
      <c r="C273" s="128" t="n"/>
      <c r="D273" s="129" t="n"/>
      <c r="E273" s="71" t="n"/>
      <c r="F273" s="71" t="n"/>
      <c r="G273" s="71" t="n"/>
      <c r="H273" s="71" t="n"/>
      <c r="I273" s="28">
        <f>IF(OR(C273&lt;&gt;"",D273&lt;&gt;""),I272+IF(C273&lt;&gt;"",C273,0)-IF(D273&lt;&gt;"",D273,0),"")</f>
        <v/>
      </c>
    </row>
    <row r="274" ht="18" customHeight="1">
      <c r="A274" s="56" t="n"/>
      <c r="B274" s="58" t="n"/>
      <c r="C274" s="128" t="n"/>
      <c r="D274" s="129" t="n"/>
      <c r="E274" s="59" t="n"/>
      <c r="F274" s="59" t="n"/>
      <c r="G274" s="59" t="n"/>
      <c r="H274" s="59" t="n"/>
      <c r="I274" s="28">
        <f>IF(OR(C274&lt;&gt;"",D274&lt;&gt;""),I273+IF(C274&lt;&gt;"",C274,0)-IF(D274&lt;&gt;"",D274,0),"")</f>
        <v/>
      </c>
    </row>
    <row r="275" ht="18" customHeight="1">
      <c r="A275" s="68" t="n"/>
      <c r="B275" s="70" t="n"/>
      <c r="C275" s="128" t="n"/>
      <c r="D275" s="129" t="n"/>
      <c r="E275" s="71" t="n"/>
      <c r="F275" s="71" t="n"/>
      <c r="G275" s="71" t="n"/>
      <c r="H275" s="71" t="n"/>
      <c r="I275" s="28">
        <f>IF(OR(C275&lt;&gt;"",D275&lt;&gt;""),I274+IF(C275&lt;&gt;"",C275,0)-IF(D275&lt;&gt;"",D275,0),"")</f>
        <v/>
      </c>
    </row>
    <row r="276" ht="18" customHeight="1">
      <c r="A276" s="56" t="n"/>
      <c r="B276" s="58" t="n"/>
      <c r="C276" s="128" t="n"/>
      <c r="D276" s="129" t="n"/>
      <c r="E276" s="59" t="n"/>
      <c r="F276" s="59" t="n"/>
      <c r="G276" s="59" t="n"/>
      <c r="H276" s="59" t="n"/>
      <c r="I276" s="28">
        <f>IF(OR(C276&lt;&gt;"",D276&lt;&gt;""),I275+IF(C276&lt;&gt;"",C276,0)-IF(D276&lt;&gt;"",D276,0),"")</f>
        <v/>
      </c>
    </row>
    <row r="277" ht="18" customHeight="1">
      <c r="A277" s="68" t="n"/>
      <c r="B277" s="70" t="n"/>
      <c r="C277" s="128" t="n"/>
      <c r="D277" s="129" t="n"/>
      <c r="E277" s="71" t="n"/>
      <c r="F277" s="71" t="n"/>
      <c r="G277" s="71" t="n"/>
      <c r="H277" s="71" t="n"/>
      <c r="I277" s="28">
        <f>IF(OR(C277&lt;&gt;"",D277&lt;&gt;""),I276+IF(C277&lt;&gt;"",C277,0)-IF(D277&lt;&gt;"",D277,0),"")</f>
        <v/>
      </c>
    </row>
    <row r="278" ht="18" customHeight="1">
      <c r="A278" s="56" t="n"/>
      <c r="B278" s="58" t="n"/>
      <c r="C278" s="128" t="n"/>
      <c r="D278" s="129" t="n"/>
      <c r="E278" s="59" t="n"/>
      <c r="F278" s="59" t="n"/>
      <c r="G278" s="59" t="n"/>
      <c r="H278" s="59" t="n"/>
      <c r="I278" s="28">
        <f>IF(OR(C278&lt;&gt;"",D278&lt;&gt;""),I277+IF(C278&lt;&gt;"",C278,0)-IF(D278&lt;&gt;"",D278,0),"")</f>
        <v/>
      </c>
    </row>
    <row r="279" ht="18" customHeight="1">
      <c r="A279" s="68" t="n"/>
      <c r="B279" s="70" t="n"/>
      <c r="C279" s="128" t="n"/>
      <c r="D279" s="129" t="n"/>
      <c r="E279" s="71" t="n"/>
      <c r="F279" s="71" t="n"/>
      <c r="G279" s="71" t="n"/>
      <c r="H279" s="71" t="n"/>
      <c r="I279" s="28">
        <f>IF(OR(C279&lt;&gt;"",D279&lt;&gt;""),I278+IF(C279&lt;&gt;"",C279,0)-IF(D279&lt;&gt;"",D279,0),"")</f>
        <v/>
      </c>
    </row>
    <row r="280" ht="18" customHeight="1">
      <c r="A280" s="56" t="n"/>
      <c r="B280" s="58" t="n"/>
      <c r="C280" s="128" t="n"/>
      <c r="D280" s="129" t="n"/>
      <c r="E280" s="59" t="n"/>
      <c r="F280" s="59" t="n"/>
      <c r="G280" s="59" t="n"/>
      <c r="H280" s="59" t="n"/>
      <c r="I280" s="28">
        <f>IF(OR(C280&lt;&gt;"",D280&lt;&gt;""),I279+IF(C280&lt;&gt;"",C280,0)-IF(D280&lt;&gt;"",D280,0),"")</f>
        <v/>
      </c>
    </row>
    <row r="281" ht="18" customHeight="1">
      <c r="A281" s="68" t="n"/>
      <c r="B281" s="70" t="n"/>
      <c r="C281" s="128" t="n"/>
      <c r="D281" s="129" t="n"/>
      <c r="E281" s="71" t="n"/>
      <c r="F281" s="71" t="n"/>
      <c r="G281" s="71" t="n"/>
      <c r="H281" s="71" t="n"/>
      <c r="I281" s="28">
        <f>IF(OR(C281&lt;&gt;"",D281&lt;&gt;""),I280+IF(C281&lt;&gt;"",C281,0)-IF(D281&lt;&gt;"",D281,0),"")</f>
        <v/>
      </c>
    </row>
    <row r="282" ht="18" customHeight="1">
      <c r="A282" s="56" t="n"/>
      <c r="B282" s="58" t="n"/>
      <c r="C282" s="128" t="n"/>
      <c r="D282" s="129" t="n"/>
      <c r="E282" s="59" t="n"/>
      <c r="F282" s="59" t="n"/>
      <c r="G282" s="59" t="n"/>
      <c r="H282" s="59" t="n"/>
      <c r="I282" s="28">
        <f>IF(OR(C282&lt;&gt;"",D282&lt;&gt;""),I281+IF(C282&lt;&gt;"",C282,0)-IF(D282&lt;&gt;"",D282,0),"")</f>
        <v/>
      </c>
    </row>
    <row r="283" ht="18" customHeight="1">
      <c r="A283" s="68" t="n"/>
      <c r="B283" s="70" t="n"/>
      <c r="C283" s="128" t="n"/>
      <c r="D283" s="129" t="n"/>
      <c r="E283" s="71" t="n"/>
      <c r="F283" s="71" t="n"/>
      <c r="G283" s="71" t="n"/>
      <c r="H283" s="71" t="n"/>
      <c r="I283" s="28">
        <f>IF(OR(C283&lt;&gt;"",D283&lt;&gt;""),I282+IF(C283&lt;&gt;"",C283,0)-IF(D283&lt;&gt;"",D283,0),"")</f>
        <v/>
      </c>
    </row>
    <row r="284" ht="18" customHeight="1">
      <c r="A284" s="56" t="n"/>
      <c r="B284" s="58" t="n"/>
      <c r="C284" s="128" t="n"/>
      <c r="D284" s="129" t="n"/>
      <c r="E284" s="59" t="n"/>
      <c r="F284" s="59" t="n"/>
      <c r="G284" s="59" t="n"/>
      <c r="H284" s="59" t="n"/>
      <c r="I284" s="28">
        <f>IF(OR(C284&lt;&gt;"",D284&lt;&gt;""),I283+IF(C284&lt;&gt;"",C284,0)-IF(D284&lt;&gt;"",D284,0),"")</f>
        <v/>
      </c>
    </row>
    <row r="285" ht="18" customHeight="1">
      <c r="A285" s="68" t="n"/>
      <c r="B285" s="70" t="n"/>
      <c r="C285" s="128" t="n"/>
      <c r="D285" s="129" t="n"/>
      <c r="E285" s="71" t="n"/>
      <c r="F285" s="71" t="n"/>
      <c r="G285" s="71" t="n"/>
      <c r="H285" s="71" t="n"/>
      <c r="I285" s="28">
        <f>IF(OR(C285&lt;&gt;"",D285&lt;&gt;""),I284+IF(C285&lt;&gt;"",C285,0)-IF(D285&lt;&gt;"",D285,0),"")</f>
        <v/>
      </c>
    </row>
    <row r="286" ht="18" customHeight="1">
      <c r="A286" s="56" t="n"/>
      <c r="B286" s="58" t="n"/>
      <c r="C286" s="128" t="n"/>
      <c r="D286" s="129" t="n"/>
      <c r="E286" s="59" t="n"/>
      <c r="F286" s="59" t="n"/>
      <c r="G286" s="59" t="n"/>
      <c r="H286" s="59" t="n"/>
      <c r="I286" s="28">
        <f>IF(OR(C286&lt;&gt;"",D286&lt;&gt;""),I285+IF(C286&lt;&gt;"",C286,0)-IF(D286&lt;&gt;"",D286,0),"")</f>
        <v/>
      </c>
    </row>
    <row r="287" ht="18" customHeight="1">
      <c r="A287" s="68" t="n"/>
      <c r="B287" s="70" t="n"/>
      <c r="C287" s="128" t="n"/>
      <c r="D287" s="129" t="n"/>
      <c r="E287" s="71" t="n"/>
      <c r="F287" s="71" t="n"/>
      <c r="G287" s="71" t="n"/>
      <c r="H287" s="71" t="n"/>
      <c r="I287" s="28">
        <f>IF(OR(C287&lt;&gt;"",D287&lt;&gt;""),I286+IF(C287&lt;&gt;"",C287,0)-IF(D287&lt;&gt;"",D287,0),"")</f>
        <v/>
      </c>
    </row>
    <row r="288" ht="18" customHeight="1">
      <c r="A288" s="56" t="n"/>
      <c r="B288" s="58" t="n"/>
      <c r="C288" s="128" t="n"/>
      <c r="D288" s="129" t="n"/>
      <c r="E288" s="59" t="n"/>
      <c r="F288" s="59" t="n"/>
      <c r="G288" s="59" t="n"/>
      <c r="H288" s="59" t="n"/>
      <c r="I288" s="28">
        <f>IF(OR(C288&lt;&gt;"",D288&lt;&gt;""),I287+IF(C288&lt;&gt;"",C288,0)-IF(D288&lt;&gt;"",D288,0),"")</f>
        <v/>
      </c>
    </row>
    <row r="289" ht="18" customHeight="1">
      <c r="A289" s="68" t="n"/>
      <c r="B289" s="70" t="n"/>
      <c r="C289" s="128" t="n"/>
      <c r="D289" s="129" t="n"/>
      <c r="E289" s="71" t="n"/>
      <c r="F289" s="71" t="n"/>
      <c r="G289" s="71" t="n"/>
      <c r="H289" s="71" t="n"/>
      <c r="I289" s="28">
        <f>IF(OR(C289&lt;&gt;"",D289&lt;&gt;""),I288+IF(C289&lt;&gt;"",C289,0)-IF(D289&lt;&gt;"",D289,0),"")</f>
        <v/>
      </c>
    </row>
    <row r="290" ht="18" customHeight="1">
      <c r="A290" s="56" t="n"/>
      <c r="B290" s="58" t="n"/>
      <c r="C290" s="128" t="n"/>
      <c r="D290" s="129" t="n"/>
      <c r="E290" s="59" t="n"/>
      <c r="F290" s="59" t="n"/>
      <c r="G290" s="59" t="n"/>
      <c r="H290" s="59" t="n"/>
      <c r="I290" s="28">
        <f>IF(OR(C290&lt;&gt;"",D290&lt;&gt;""),I289+IF(C290&lt;&gt;"",C290,0)-IF(D290&lt;&gt;"",D290,0),"")</f>
        <v/>
      </c>
    </row>
    <row r="291" ht="18" customHeight="1">
      <c r="A291" s="68" t="n"/>
      <c r="B291" s="70" t="n"/>
      <c r="C291" s="128" t="n"/>
      <c r="D291" s="129" t="n"/>
      <c r="E291" s="71" t="n"/>
      <c r="F291" s="71" t="n"/>
      <c r="G291" s="71" t="n"/>
      <c r="H291" s="71" t="n"/>
      <c r="I291" s="28">
        <f>IF(OR(C291&lt;&gt;"",D291&lt;&gt;""),I290+IF(C291&lt;&gt;"",C291,0)-IF(D291&lt;&gt;"",D291,0),"")</f>
        <v/>
      </c>
    </row>
    <row r="292" ht="18" customHeight="1">
      <c r="A292" s="56" t="n"/>
      <c r="B292" s="58" t="n"/>
      <c r="C292" s="128" t="n"/>
      <c r="D292" s="129" t="n"/>
      <c r="E292" s="59" t="n"/>
      <c r="F292" s="59" t="n"/>
      <c r="G292" s="59" t="n"/>
      <c r="H292" s="59" t="n"/>
      <c r="I292" s="28">
        <f>IF(OR(C292&lt;&gt;"",D292&lt;&gt;""),I291+IF(C292&lt;&gt;"",C292,0)-IF(D292&lt;&gt;"",D292,0),"")</f>
        <v/>
      </c>
    </row>
    <row r="293" ht="18" customHeight="1">
      <c r="A293" s="68" t="n"/>
      <c r="B293" s="70" t="n"/>
      <c r="C293" s="128" t="n"/>
      <c r="D293" s="129" t="n"/>
      <c r="E293" s="71" t="n"/>
      <c r="F293" s="71" t="n"/>
      <c r="G293" s="71" t="n"/>
      <c r="H293" s="71" t="n"/>
      <c r="I293" s="28">
        <f>IF(OR(C293&lt;&gt;"",D293&lt;&gt;""),I292+IF(C293&lt;&gt;"",C293,0)-IF(D293&lt;&gt;"",D293,0),"")</f>
        <v/>
      </c>
    </row>
    <row r="294" ht="18" customHeight="1">
      <c r="A294" s="56" t="n"/>
      <c r="B294" s="58" t="n"/>
      <c r="C294" s="128" t="n"/>
      <c r="D294" s="129" t="n"/>
      <c r="E294" s="59" t="n"/>
      <c r="F294" s="59" t="n"/>
      <c r="G294" s="59" t="n"/>
      <c r="H294" s="59" t="n"/>
      <c r="I294" s="28">
        <f>IF(OR(C294&lt;&gt;"",D294&lt;&gt;""),I293+IF(C294&lt;&gt;"",C294,0)-IF(D294&lt;&gt;"",D294,0),"")</f>
        <v/>
      </c>
    </row>
    <row r="295" ht="18" customHeight="1">
      <c r="A295" s="68" t="n"/>
      <c r="B295" s="70" t="n"/>
      <c r="C295" s="128" t="n"/>
      <c r="D295" s="129" t="n"/>
      <c r="E295" s="71" t="n"/>
      <c r="F295" s="71" t="n"/>
      <c r="G295" s="71" t="n"/>
      <c r="H295" s="71" t="n"/>
      <c r="I295" s="28">
        <f>IF(OR(C295&lt;&gt;"",D295&lt;&gt;""),I294+IF(C295&lt;&gt;"",C295,0)-IF(D295&lt;&gt;"",D295,0),"")</f>
        <v/>
      </c>
    </row>
    <row r="296" ht="18" customHeight="1">
      <c r="A296" s="56" t="n"/>
      <c r="B296" s="58" t="n"/>
      <c r="C296" s="128" t="n"/>
      <c r="D296" s="129" t="n"/>
      <c r="E296" s="59" t="n"/>
      <c r="F296" s="59" t="n"/>
      <c r="G296" s="59" t="n"/>
      <c r="H296" s="59" t="n"/>
      <c r="I296" s="28">
        <f>IF(OR(C296&lt;&gt;"",D296&lt;&gt;""),I295+IF(C296&lt;&gt;"",C296,0)-IF(D296&lt;&gt;"",D296,0),"")</f>
        <v/>
      </c>
    </row>
    <row r="297" ht="18" customHeight="1">
      <c r="A297" s="68" t="n"/>
      <c r="B297" s="70" t="n"/>
      <c r="C297" s="128" t="n"/>
      <c r="D297" s="129" t="n"/>
      <c r="E297" s="71" t="n"/>
      <c r="F297" s="71" t="n"/>
      <c r="G297" s="71" t="n"/>
      <c r="H297" s="71" t="n"/>
      <c r="I297" s="28">
        <f>IF(OR(C297&lt;&gt;"",D297&lt;&gt;""),I296+IF(C297&lt;&gt;"",C297,0)-IF(D297&lt;&gt;"",D297,0),"")</f>
        <v/>
      </c>
    </row>
    <row r="298" ht="18" customHeight="1">
      <c r="A298" s="56" t="n"/>
      <c r="B298" s="58" t="n"/>
      <c r="C298" s="128" t="n"/>
      <c r="D298" s="129" t="n"/>
      <c r="E298" s="59" t="n"/>
      <c r="F298" s="59" t="n"/>
      <c r="G298" s="59" t="n"/>
      <c r="H298" s="59" t="n"/>
      <c r="I298" s="28">
        <f>IF(OR(C298&lt;&gt;"",D298&lt;&gt;""),I297+IF(C298&lt;&gt;"",C298,0)-IF(D298&lt;&gt;"",D298,0),"")</f>
        <v/>
      </c>
    </row>
    <row r="299" ht="18" customHeight="1">
      <c r="A299" s="68" t="n"/>
      <c r="B299" s="70" t="n"/>
      <c r="C299" s="128" t="n"/>
      <c r="D299" s="129" t="n"/>
      <c r="E299" s="71" t="n"/>
      <c r="F299" s="71" t="n"/>
      <c r="G299" s="71" t="n"/>
      <c r="H299" s="71" t="n"/>
      <c r="I299" s="28">
        <f>IF(OR(C299&lt;&gt;"",D299&lt;&gt;""),I298+IF(C299&lt;&gt;"",C299,0)-IF(D299&lt;&gt;"",D299,0),"")</f>
        <v/>
      </c>
    </row>
    <row r="300" ht="18" customHeight="1">
      <c r="A300" s="56" t="n"/>
      <c r="B300" s="58" t="n"/>
      <c r="C300" s="128" t="n"/>
      <c r="D300" s="129" t="n"/>
      <c r="E300" s="59" t="n"/>
      <c r="F300" s="59" t="n"/>
      <c r="G300" s="59" t="n"/>
      <c r="H300" s="59" t="n"/>
      <c r="I300" s="28">
        <f>IF(OR(C300&lt;&gt;"",D300&lt;&gt;""),I299+IF(C300&lt;&gt;"",C300,0)-IF(D300&lt;&gt;"",D300,0),"")</f>
        <v/>
      </c>
    </row>
    <row r="301" ht="18" customHeight="1">
      <c r="A301" s="68" t="n"/>
      <c r="B301" s="70" t="n"/>
      <c r="C301" s="128" t="n"/>
      <c r="D301" s="129" t="n"/>
      <c r="E301" s="71" t="n"/>
      <c r="F301" s="71" t="n"/>
      <c r="G301" s="71" t="n"/>
      <c r="H301" s="71" t="n"/>
      <c r="I301" s="28">
        <f>IF(OR(C301&lt;&gt;"",D301&lt;&gt;""),I300+IF(C301&lt;&gt;"",C301,0)-IF(D301&lt;&gt;"",D301,0),"")</f>
        <v/>
      </c>
    </row>
    <row r="302" ht="18" customHeight="1">
      <c r="A302" s="56" t="n"/>
      <c r="B302" s="58" t="n"/>
      <c r="C302" s="128" t="n"/>
      <c r="D302" s="129" t="n"/>
      <c r="E302" s="59" t="n"/>
      <c r="F302" s="59" t="n"/>
      <c r="G302" s="59" t="n"/>
      <c r="H302" s="59" t="n"/>
      <c r="I302" s="28">
        <f>IF(OR(C302&lt;&gt;"",D302&lt;&gt;""),I301+IF(C302&lt;&gt;"",C302,0)-IF(D302&lt;&gt;"",D302,0),"")</f>
        <v/>
      </c>
    </row>
    <row r="303" ht="18" customHeight="1">
      <c r="A303" s="68" t="n"/>
      <c r="B303" s="70" t="n"/>
      <c r="C303" s="128" t="n"/>
      <c r="D303" s="129" t="n"/>
      <c r="E303" s="71" t="n"/>
      <c r="F303" s="71" t="n"/>
      <c r="G303" s="71" t="n"/>
      <c r="H303" s="71" t="n"/>
      <c r="I303" s="28">
        <f>IF(OR(C303&lt;&gt;"",D303&lt;&gt;""),I302+IF(C303&lt;&gt;"",C303,0)-IF(D303&lt;&gt;"",D303,0),"")</f>
        <v/>
      </c>
    </row>
    <row r="304" ht="18" customHeight="1">
      <c r="A304" s="56" t="n"/>
      <c r="B304" s="58" t="n"/>
      <c r="C304" s="128" t="n"/>
      <c r="D304" s="129" t="n"/>
      <c r="E304" s="59" t="n"/>
      <c r="F304" s="59" t="n"/>
      <c r="G304" s="59" t="n"/>
      <c r="H304" s="59" t="n"/>
      <c r="I304" s="28">
        <f>IF(OR(C304&lt;&gt;"",D304&lt;&gt;""),I303+IF(C304&lt;&gt;"",C304,0)-IF(D304&lt;&gt;"",D304,0),"")</f>
        <v/>
      </c>
    </row>
    <row r="305" ht="18" customHeight="1">
      <c r="A305" s="68" t="n"/>
      <c r="B305" s="70" t="n"/>
      <c r="C305" s="128" t="n"/>
      <c r="D305" s="129" t="n"/>
      <c r="E305" s="71" t="n"/>
      <c r="F305" s="71" t="n"/>
      <c r="G305" s="71" t="n"/>
      <c r="H305" s="71" t="n"/>
      <c r="I305" s="28">
        <f>IF(OR(C305&lt;&gt;"",D305&lt;&gt;""),I304+IF(C305&lt;&gt;"",C305,0)-IF(D305&lt;&gt;"",D305,0),"")</f>
        <v/>
      </c>
    </row>
    <row r="306" ht="18" customHeight="1">
      <c r="A306" s="56" t="n"/>
      <c r="B306" s="58" t="n"/>
      <c r="C306" s="128" t="n"/>
      <c r="D306" s="129" t="n"/>
      <c r="E306" s="59" t="n"/>
      <c r="F306" s="59" t="n"/>
      <c r="G306" s="59" t="n"/>
      <c r="H306" s="59" t="n"/>
      <c r="I306" s="28">
        <f>IF(OR(C306&lt;&gt;"",D306&lt;&gt;""),I305+IF(C306&lt;&gt;"",C306,0)-IF(D306&lt;&gt;"",D306,0),"")</f>
        <v/>
      </c>
    </row>
    <row r="307" ht="18" customHeight="1">
      <c r="A307" s="68" t="n"/>
      <c r="B307" s="70" t="n"/>
      <c r="C307" s="128" t="n"/>
      <c r="D307" s="129" t="n"/>
      <c r="E307" s="71" t="n"/>
      <c r="F307" s="71" t="n"/>
      <c r="G307" s="71" t="n"/>
      <c r="H307" s="71" t="n"/>
      <c r="I307" s="28">
        <f>IF(OR(C307&lt;&gt;"",D307&lt;&gt;""),I306+IF(C307&lt;&gt;"",C307,0)-IF(D307&lt;&gt;"",D307,0),"")</f>
        <v/>
      </c>
    </row>
    <row r="308" ht="18" customHeight="1">
      <c r="A308" s="56" t="n"/>
      <c r="B308" s="58" t="n"/>
      <c r="C308" s="128" t="n"/>
      <c r="D308" s="129" t="n"/>
      <c r="E308" s="59" t="n"/>
      <c r="F308" s="59" t="n"/>
      <c r="G308" s="59" t="n"/>
      <c r="H308" s="59" t="n"/>
      <c r="I308" s="28">
        <f>IF(OR(C308&lt;&gt;"",D308&lt;&gt;""),I307+IF(C308&lt;&gt;"",C308,0)-IF(D308&lt;&gt;"",D308,0),"")</f>
        <v/>
      </c>
    </row>
    <row r="309" ht="18" customHeight="1">
      <c r="A309" s="68" t="n"/>
      <c r="B309" s="70" t="n"/>
      <c r="C309" s="128" t="n"/>
      <c r="D309" s="129" t="n"/>
      <c r="E309" s="71" t="n"/>
      <c r="F309" s="71" t="n"/>
      <c r="G309" s="71" t="n"/>
      <c r="H309" s="71" t="n"/>
      <c r="I309" s="28">
        <f>IF(OR(C309&lt;&gt;"",D309&lt;&gt;""),I308+IF(C309&lt;&gt;"",C309,0)-IF(D309&lt;&gt;"",D309,0),"")</f>
        <v/>
      </c>
    </row>
    <row r="310" ht="18" customHeight="1">
      <c r="A310" s="56" t="n"/>
      <c r="B310" s="58" t="n"/>
      <c r="C310" s="128" t="n"/>
      <c r="D310" s="129" t="n"/>
      <c r="E310" s="59" t="n"/>
      <c r="F310" s="59" t="n"/>
      <c r="G310" s="59" t="n"/>
      <c r="H310" s="59" t="n"/>
      <c r="I310" s="28">
        <f>IF(OR(C310&lt;&gt;"",D310&lt;&gt;""),I309+IF(C310&lt;&gt;"",C310,0)-IF(D310&lt;&gt;"",D310,0),"")</f>
        <v/>
      </c>
    </row>
    <row r="311" ht="18" customHeight="1">
      <c r="A311" s="68" t="n"/>
      <c r="B311" s="70" t="n"/>
      <c r="C311" s="128" t="n"/>
      <c r="D311" s="129" t="n"/>
      <c r="E311" s="71" t="n"/>
      <c r="F311" s="71" t="n"/>
      <c r="G311" s="71" t="n"/>
      <c r="H311" s="71" t="n"/>
      <c r="I311" s="28">
        <f>IF(OR(C311&lt;&gt;"",D311&lt;&gt;""),I310+IF(C311&lt;&gt;"",C311,0)-IF(D311&lt;&gt;"",D311,0),"")</f>
        <v/>
      </c>
    </row>
    <row r="312" ht="18" customHeight="1">
      <c r="A312" s="56" t="n"/>
      <c r="B312" s="58" t="n"/>
      <c r="C312" s="128" t="n"/>
      <c r="D312" s="129" t="n"/>
      <c r="E312" s="59" t="n"/>
      <c r="F312" s="59" t="n"/>
      <c r="G312" s="59" t="n"/>
      <c r="H312" s="59" t="n"/>
      <c r="I312" s="28">
        <f>IF(OR(C312&lt;&gt;"",D312&lt;&gt;""),I311+IF(C312&lt;&gt;"",C312,0)-IF(D312&lt;&gt;"",D312,0),"")</f>
        <v/>
      </c>
    </row>
    <row r="313" ht="18" customHeight="1">
      <c r="A313" s="68" t="n"/>
      <c r="B313" s="70" t="n"/>
      <c r="C313" s="128" t="n"/>
      <c r="D313" s="129" t="n"/>
      <c r="E313" s="71" t="n"/>
      <c r="F313" s="71" t="n"/>
      <c r="G313" s="71" t="n"/>
      <c r="H313" s="71" t="n"/>
      <c r="I313" s="28">
        <f>IF(OR(C313&lt;&gt;"",D313&lt;&gt;""),I312+IF(C313&lt;&gt;"",C313,0)-IF(D313&lt;&gt;"",D313,0),"")</f>
        <v/>
      </c>
    </row>
    <row r="314" ht="18" customHeight="1">
      <c r="A314" s="56" t="n"/>
      <c r="B314" s="58" t="n"/>
      <c r="C314" s="128" t="n"/>
      <c r="D314" s="129" t="n"/>
      <c r="E314" s="59" t="n"/>
      <c r="F314" s="59" t="n"/>
      <c r="G314" s="59" t="n"/>
      <c r="H314" s="59" t="n"/>
      <c r="I314" s="28">
        <f>IF(OR(C314&lt;&gt;"",D314&lt;&gt;""),I313+IF(C314&lt;&gt;"",C314,0)-IF(D314&lt;&gt;"",D314,0),"")</f>
        <v/>
      </c>
    </row>
    <row r="315" ht="18" customHeight="1">
      <c r="A315" s="68" t="n"/>
      <c r="B315" s="70" t="n"/>
      <c r="C315" s="128" t="n"/>
      <c r="D315" s="129" t="n"/>
      <c r="E315" s="71" t="n"/>
      <c r="F315" s="71" t="n"/>
      <c r="G315" s="71" t="n"/>
      <c r="H315" s="71" t="n"/>
      <c r="I315" s="28">
        <f>IF(OR(C315&lt;&gt;"",D315&lt;&gt;""),I314+IF(C315&lt;&gt;"",C315,0)-IF(D315&lt;&gt;"",D315,0),"")</f>
        <v/>
      </c>
    </row>
    <row r="316" ht="18" customHeight="1">
      <c r="A316" s="56" t="n"/>
      <c r="B316" s="58" t="n"/>
      <c r="C316" s="128" t="n"/>
      <c r="D316" s="129" t="n"/>
      <c r="E316" s="59" t="n"/>
      <c r="F316" s="59" t="n"/>
      <c r="G316" s="59" t="n"/>
      <c r="H316" s="59" t="n"/>
      <c r="I316" s="28">
        <f>IF(OR(C316&lt;&gt;"",D316&lt;&gt;""),I315+IF(C316&lt;&gt;"",C316,0)-IF(D316&lt;&gt;"",D316,0),"")</f>
        <v/>
      </c>
    </row>
    <row r="317" ht="18" customHeight="1">
      <c r="A317" s="68" t="n"/>
      <c r="B317" s="70" t="n"/>
      <c r="C317" s="128" t="n"/>
      <c r="D317" s="129" t="n"/>
      <c r="E317" s="71" t="n"/>
      <c r="F317" s="71" t="n"/>
      <c r="G317" s="71" t="n"/>
      <c r="H317" s="71" t="n"/>
      <c r="I317" s="28">
        <f>IF(OR(C317&lt;&gt;"",D317&lt;&gt;""),I316+IF(C317&lt;&gt;"",C317,0)-IF(D317&lt;&gt;"",D317,0),"")</f>
        <v/>
      </c>
    </row>
    <row r="318" ht="18" customHeight="1">
      <c r="A318" s="56" t="n"/>
      <c r="B318" s="58" t="n"/>
      <c r="C318" s="128" t="n"/>
      <c r="D318" s="129" t="n"/>
      <c r="E318" s="59" t="n"/>
      <c r="F318" s="59" t="n"/>
      <c r="G318" s="59" t="n"/>
      <c r="H318" s="59" t="n"/>
      <c r="I318" s="28">
        <f>IF(OR(C318&lt;&gt;"",D318&lt;&gt;""),I317+IF(C318&lt;&gt;"",C318,0)-IF(D318&lt;&gt;"",D318,0),"")</f>
        <v/>
      </c>
    </row>
    <row r="319" ht="18" customHeight="1">
      <c r="A319" s="68" t="n"/>
      <c r="B319" s="70" t="n"/>
      <c r="C319" s="128" t="n"/>
      <c r="D319" s="129" t="n"/>
      <c r="E319" s="71" t="n"/>
      <c r="F319" s="71" t="n"/>
      <c r="G319" s="71" t="n"/>
      <c r="H319" s="71" t="n"/>
      <c r="I319" s="28">
        <f>IF(OR(C319&lt;&gt;"",D319&lt;&gt;""),I318+IF(C319&lt;&gt;"",C319,0)-IF(D319&lt;&gt;"",D319,0),"")</f>
        <v/>
      </c>
    </row>
    <row r="320" ht="18" customHeight="1">
      <c r="A320" s="56" t="n"/>
      <c r="B320" s="58" t="n"/>
      <c r="C320" s="128" t="n"/>
      <c r="D320" s="129" t="n"/>
      <c r="E320" s="59" t="n"/>
      <c r="F320" s="59" t="n"/>
      <c r="G320" s="59" t="n"/>
      <c r="H320" s="59" t="n"/>
      <c r="I320" s="28">
        <f>IF(OR(C320&lt;&gt;"",D320&lt;&gt;""),I319+IF(C320&lt;&gt;"",C320,0)-IF(D320&lt;&gt;"",D320,0),"")</f>
        <v/>
      </c>
    </row>
    <row r="321" ht="18" customHeight="1">
      <c r="A321" s="68" t="n"/>
      <c r="B321" s="70" t="n"/>
      <c r="C321" s="128" t="n"/>
      <c r="D321" s="129" t="n"/>
      <c r="E321" s="71" t="n"/>
      <c r="F321" s="71" t="n"/>
      <c r="G321" s="71" t="n"/>
      <c r="H321" s="71" t="n"/>
      <c r="I321" s="28">
        <f>IF(OR(C321&lt;&gt;"",D321&lt;&gt;""),I320+IF(C321&lt;&gt;"",C321,0)-IF(D321&lt;&gt;"",D321,0),"")</f>
        <v/>
      </c>
    </row>
    <row r="322" ht="18" customHeight="1">
      <c r="A322" s="56" t="n"/>
      <c r="B322" s="58" t="n"/>
      <c r="C322" s="128" t="n"/>
      <c r="D322" s="129" t="n"/>
      <c r="E322" s="59" t="n"/>
      <c r="F322" s="59" t="n"/>
      <c r="G322" s="59" t="n"/>
      <c r="H322" s="59" t="n"/>
      <c r="I322" s="28">
        <f>IF(OR(C322&lt;&gt;"",D322&lt;&gt;""),I321+IF(C322&lt;&gt;"",C322,0)-IF(D322&lt;&gt;"",D322,0),"")</f>
        <v/>
      </c>
    </row>
    <row r="323" ht="18" customHeight="1">
      <c r="A323" s="68" t="n"/>
      <c r="B323" s="70" t="n"/>
      <c r="C323" s="128" t="n"/>
      <c r="D323" s="129" t="n"/>
      <c r="E323" s="71" t="n"/>
      <c r="F323" s="71" t="n"/>
      <c r="G323" s="71" t="n"/>
      <c r="H323" s="71" t="n"/>
      <c r="I323" s="28">
        <f>IF(OR(C323&lt;&gt;"",D323&lt;&gt;""),I322+IF(C323&lt;&gt;"",C323,0)-IF(D323&lt;&gt;"",D323,0),"")</f>
        <v/>
      </c>
    </row>
    <row r="324" ht="18" customHeight="1">
      <c r="A324" s="56" t="n"/>
      <c r="B324" s="58" t="n"/>
      <c r="C324" s="128" t="n"/>
      <c r="D324" s="129" t="n"/>
      <c r="E324" s="59" t="n"/>
      <c r="F324" s="59" t="n"/>
      <c r="G324" s="59" t="n"/>
      <c r="H324" s="59" t="n"/>
      <c r="I324" s="28">
        <f>IF(OR(C324&lt;&gt;"",D324&lt;&gt;""),I323+IF(C324&lt;&gt;"",C324,0)-IF(D324&lt;&gt;"",D324,0),"")</f>
        <v/>
      </c>
    </row>
    <row r="325" ht="18" customHeight="1">
      <c r="A325" s="68" t="n"/>
      <c r="B325" s="70" t="n"/>
      <c r="C325" s="128" t="n"/>
      <c r="D325" s="129" t="n"/>
      <c r="E325" s="71" t="n"/>
      <c r="F325" s="71" t="n"/>
      <c r="G325" s="71" t="n"/>
      <c r="H325" s="71" t="n"/>
      <c r="I325" s="28">
        <f>IF(OR(C325&lt;&gt;"",D325&lt;&gt;""),I324+IF(C325&lt;&gt;"",C325,0)-IF(D325&lt;&gt;"",D325,0),"")</f>
        <v/>
      </c>
    </row>
    <row r="326" ht="18" customHeight="1">
      <c r="A326" s="56" t="n"/>
      <c r="B326" s="58" t="n"/>
      <c r="C326" s="128" t="n"/>
      <c r="D326" s="129" t="n"/>
      <c r="E326" s="59" t="n"/>
      <c r="F326" s="59" t="n"/>
      <c r="G326" s="59" t="n"/>
      <c r="H326" s="59" t="n"/>
      <c r="I326" s="28">
        <f>IF(OR(C326&lt;&gt;"",D326&lt;&gt;""),I325+IF(C326&lt;&gt;"",C326,0)-IF(D326&lt;&gt;"",D326,0),"")</f>
        <v/>
      </c>
    </row>
    <row r="327" ht="18" customHeight="1">
      <c r="A327" s="68" t="n"/>
      <c r="B327" s="70" t="n"/>
      <c r="C327" s="128" t="n"/>
      <c r="D327" s="129" t="n"/>
      <c r="E327" s="71" t="n"/>
      <c r="F327" s="71" t="n"/>
      <c r="G327" s="71" t="n"/>
      <c r="H327" s="71" t="n"/>
      <c r="I327" s="28">
        <f>IF(OR(C327&lt;&gt;"",D327&lt;&gt;""),I326+IF(C327&lt;&gt;"",C327,0)-IF(D327&lt;&gt;"",D327,0),"")</f>
        <v/>
      </c>
    </row>
    <row r="328" ht="18" customHeight="1">
      <c r="A328" s="56" t="n"/>
      <c r="B328" s="58" t="n"/>
      <c r="C328" s="128" t="n"/>
      <c r="D328" s="129" t="n"/>
      <c r="E328" s="59" t="n"/>
      <c r="F328" s="59" t="n"/>
      <c r="G328" s="59" t="n"/>
      <c r="H328" s="59" t="n"/>
      <c r="I328" s="28">
        <f>IF(OR(C328&lt;&gt;"",D328&lt;&gt;""),I327+IF(C328&lt;&gt;"",C328,0)-IF(D328&lt;&gt;"",D328,0),"")</f>
        <v/>
      </c>
    </row>
    <row r="329" ht="18" customHeight="1">
      <c r="A329" s="68" t="n"/>
      <c r="B329" s="70" t="n"/>
      <c r="C329" s="128" t="n"/>
      <c r="D329" s="129" t="n"/>
      <c r="E329" s="71" t="n"/>
      <c r="F329" s="71" t="n"/>
      <c r="G329" s="71" t="n"/>
      <c r="H329" s="71" t="n"/>
      <c r="I329" s="28">
        <f>IF(OR(C329&lt;&gt;"",D329&lt;&gt;""),I328+IF(C329&lt;&gt;"",C329,0)-IF(D329&lt;&gt;"",D329,0),"")</f>
        <v/>
      </c>
    </row>
    <row r="330" ht="18" customHeight="1">
      <c r="A330" s="56" t="n"/>
      <c r="B330" s="58" t="n"/>
      <c r="C330" s="128" t="n"/>
      <c r="D330" s="129" t="n"/>
      <c r="E330" s="59" t="n"/>
      <c r="F330" s="59" t="n"/>
      <c r="G330" s="59" t="n"/>
      <c r="H330" s="59" t="n"/>
      <c r="I330" s="28">
        <f>IF(OR(C330&lt;&gt;"",D330&lt;&gt;""),I329+IF(C330&lt;&gt;"",C330,0)-IF(D330&lt;&gt;"",D330,0),"")</f>
        <v/>
      </c>
    </row>
    <row r="331" ht="18" customHeight="1">
      <c r="A331" s="68" t="n"/>
      <c r="B331" s="70" t="n"/>
      <c r="C331" s="128" t="n"/>
      <c r="D331" s="129" t="n"/>
      <c r="E331" s="71" t="n"/>
      <c r="F331" s="71" t="n"/>
      <c r="G331" s="71" t="n"/>
      <c r="H331" s="71" t="n"/>
      <c r="I331" s="28">
        <f>IF(OR(C331&lt;&gt;"",D331&lt;&gt;""),I330+IF(C331&lt;&gt;"",C331,0)-IF(D331&lt;&gt;"",D331,0),"")</f>
        <v/>
      </c>
    </row>
    <row r="332" ht="18" customHeight="1">
      <c r="A332" s="56" t="n"/>
      <c r="B332" s="58" t="n"/>
      <c r="C332" s="128" t="n"/>
      <c r="D332" s="129" t="n"/>
      <c r="E332" s="59" t="n"/>
      <c r="F332" s="59" t="n"/>
      <c r="G332" s="59" t="n"/>
      <c r="H332" s="59" t="n"/>
      <c r="I332" s="28">
        <f>IF(OR(C332&lt;&gt;"",D332&lt;&gt;""),I331+IF(C332&lt;&gt;"",C332,0)-IF(D332&lt;&gt;"",D332,0),"")</f>
        <v/>
      </c>
    </row>
    <row r="333" ht="18" customHeight="1">
      <c r="A333" s="68" t="n"/>
      <c r="B333" s="70" t="n"/>
      <c r="C333" s="128" t="n"/>
      <c r="D333" s="129" t="n"/>
      <c r="E333" s="71" t="n"/>
      <c r="F333" s="71" t="n"/>
      <c r="G333" s="71" t="n"/>
      <c r="H333" s="71" t="n"/>
      <c r="I333" s="28">
        <f>IF(OR(C333&lt;&gt;"",D333&lt;&gt;""),I332+IF(C333&lt;&gt;"",C333,0)-IF(D333&lt;&gt;"",D333,0),"")</f>
        <v/>
      </c>
    </row>
    <row r="334" ht="18" customHeight="1">
      <c r="A334" s="56" t="n"/>
      <c r="B334" s="58" t="n"/>
      <c r="C334" s="128" t="n"/>
      <c r="D334" s="129" t="n"/>
      <c r="E334" s="59" t="n"/>
      <c r="F334" s="59" t="n"/>
      <c r="G334" s="59" t="n"/>
      <c r="H334" s="59" t="n"/>
      <c r="I334" s="28">
        <f>IF(OR(C334&lt;&gt;"",D334&lt;&gt;""),I333+IF(C334&lt;&gt;"",C334,0)-IF(D334&lt;&gt;"",D334,0),"")</f>
        <v/>
      </c>
    </row>
    <row r="335" ht="18" customHeight="1">
      <c r="A335" s="68" t="n"/>
      <c r="B335" s="70" t="n"/>
      <c r="C335" s="128" t="n"/>
      <c r="D335" s="129" t="n"/>
      <c r="E335" s="71" t="n"/>
      <c r="F335" s="71" t="n"/>
      <c r="G335" s="71" t="n"/>
      <c r="H335" s="71" t="n"/>
      <c r="I335" s="28">
        <f>IF(OR(C335&lt;&gt;"",D335&lt;&gt;""),I334+IF(C335&lt;&gt;"",C335,0)-IF(D335&lt;&gt;"",D335,0),"")</f>
        <v/>
      </c>
    </row>
    <row r="336" ht="18" customHeight="1">
      <c r="A336" s="56" t="n"/>
      <c r="B336" s="58" t="n"/>
      <c r="C336" s="128" t="n"/>
      <c r="D336" s="129" t="n"/>
      <c r="E336" s="59" t="n"/>
      <c r="F336" s="59" t="n"/>
      <c r="G336" s="59" t="n"/>
      <c r="H336" s="59" t="n"/>
      <c r="I336" s="28">
        <f>IF(OR(C336&lt;&gt;"",D336&lt;&gt;""),I335+IF(C336&lt;&gt;"",C336,0)-IF(D336&lt;&gt;"",D336,0),"")</f>
        <v/>
      </c>
    </row>
    <row r="337" ht="18" customHeight="1">
      <c r="A337" s="68" t="n"/>
      <c r="B337" s="70" t="n"/>
      <c r="C337" s="128" t="n"/>
      <c r="D337" s="129" t="n"/>
      <c r="E337" s="71" t="n"/>
      <c r="F337" s="71" t="n"/>
      <c r="G337" s="71" t="n"/>
      <c r="H337" s="71" t="n"/>
      <c r="I337" s="28">
        <f>IF(OR(C337&lt;&gt;"",D337&lt;&gt;""),I336+IF(C337&lt;&gt;"",C337,0)-IF(D337&lt;&gt;"",D337,0),"")</f>
        <v/>
      </c>
    </row>
    <row r="338" ht="18" customHeight="1">
      <c r="A338" s="56" t="n"/>
      <c r="B338" s="58" t="n"/>
      <c r="C338" s="128" t="n"/>
      <c r="D338" s="129" t="n"/>
      <c r="E338" s="59" t="n"/>
      <c r="F338" s="59" t="n"/>
      <c r="G338" s="59" t="n"/>
      <c r="H338" s="59" t="n"/>
      <c r="I338" s="28">
        <f>IF(OR(C338&lt;&gt;"",D338&lt;&gt;""),I337+IF(C338&lt;&gt;"",C338,0)-IF(D338&lt;&gt;"",D338,0),"")</f>
        <v/>
      </c>
    </row>
    <row r="339" ht="18" customHeight="1">
      <c r="A339" s="68" t="n"/>
      <c r="B339" s="70" t="n"/>
      <c r="C339" s="128" t="n"/>
      <c r="D339" s="129" t="n"/>
      <c r="E339" s="71" t="n"/>
      <c r="F339" s="71" t="n"/>
      <c r="G339" s="71" t="n"/>
      <c r="H339" s="71" t="n"/>
      <c r="I339" s="28">
        <f>IF(OR(C339&lt;&gt;"",D339&lt;&gt;""),I338+IF(C339&lt;&gt;"",C339,0)-IF(D339&lt;&gt;"",D339,0),"")</f>
        <v/>
      </c>
    </row>
    <row r="340" ht="18" customHeight="1">
      <c r="A340" s="56" t="n"/>
      <c r="B340" s="58" t="n"/>
      <c r="C340" s="128" t="n"/>
      <c r="D340" s="129" t="n"/>
      <c r="E340" s="59" t="n"/>
      <c r="F340" s="59" t="n"/>
      <c r="G340" s="59" t="n"/>
      <c r="H340" s="59" t="n"/>
      <c r="I340" s="28">
        <f>IF(OR(C340&lt;&gt;"",D340&lt;&gt;""),I339+IF(C340&lt;&gt;"",C340,0)-IF(D340&lt;&gt;"",D340,0),"")</f>
        <v/>
      </c>
    </row>
    <row r="341" ht="18" customHeight="1">
      <c r="A341" s="68" t="n"/>
      <c r="B341" s="70" t="n"/>
      <c r="C341" s="128" t="n"/>
      <c r="D341" s="129" t="n"/>
      <c r="E341" s="71" t="n"/>
      <c r="F341" s="71" t="n"/>
      <c r="G341" s="71" t="n"/>
      <c r="H341" s="71" t="n"/>
      <c r="I341" s="28">
        <f>IF(OR(C341&lt;&gt;"",D341&lt;&gt;""),I340+IF(C341&lt;&gt;"",C341,0)-IF(D341&lt;&gt;"",D341,0),"")</f>
        <v/>
      </c>
    </row>
    <row r="342" ht="18" customHeight="1">
      <c r="A342" s="56" t="n"/>
      <c r="B342" s="58" t="n"/>
      <c r="C342" s="128" t="n"/>
      <c r="D342" s="129" t="n"/>
      <c r="E342" s="59" t="n"/>
      <c r="F342" s="59" t="n"/>
      <c r="G342" s="59" t="n"/>
      <c r="H342" s="59" t="n"/>
      <c r="I342" s="28">
        <f>IF(OR(C342&lt;&gt;"",D342&lt;&gt;""),I341+IF(C342&lt;&gt;"",C342,0)-IF(D342&lt;&gt;"",D342,0),"")</f>
        <v/>
      </c>
    </row>
    <row r="343" ht="18" customHeight="1">
      <c r="A343" s="68" t="n"/>
      <c r="B343" s="70" t="n"/>
      <c r="C343" s="128" t="n"/>
      <c r="D343" s="129" t="n"/>
      <c r="E343" s="71" t="n"/>
      <c r="F343" s="71" t="n"/>
      <c r="G343" s="71" t="n"/>
      <c r="H343" s="71" t="n"/>
      <c r="I343" s="28">
        <f>IF(OR(C343&lt;&gt;"",D343&lt;&gt;""),I342+IF(C343&lt;&gt;"",C343,0)-IF(D343&lt;&gt;"",D343,0),"")</f>
        <v/>
      </c>
    </row>
    <row r="344" ht="18" customHeight="1">
      <c r="A344" s="56" t="n"/>
      <c r="B344" s="58" t="n"/>
      <c r="C344" s="128" t="n"/>
      <c r="D344" s="129" t="n"/>
      <c r="E344" s="59" t="n"/>
      <c r="F344" s="59" t="n"/>
      <c r="G344" s="59" t="n"/>
      <c r="H344" s="59" t="n"/>
      <c r="I344" s="28">
        <f>IF(OR(C344&lt;&gt;"",D344&lt;&gt;""),I343+IF(C344&lt;&gt;"",C344,0)-IF(D344&lt;&gt;"",D344,0),"")</f>
        <v/>
      </c>
    </row>
    <row r="345" ht="18" customHeight="1">
      <c r="A345" s="68" t="n"/>
      <c r="B345" s="70" t="n"/>
      <c r="C345" s="128" t="n"/>
      <c r="D345" s="129" t="n"/>
      <c r="E345" s="71" t="n"/>
      <c r="F345" s="71" t="n"/>
      <c r="G345" s="71" t="n"/>
      <c r="H345" s="71" t="n"/>
      <c r="I345" s="28">
        <f>IF(OR(C345&lt;&gt;"",D345&lt;&gt;""),I344+IF(C345&lt;&gt;"",C345,0)-IF(D345&lt;&gt;"",D345,0),"")</f>
        <v/>
      </c>
    </row>
    <row r="346" ht="18" customHeight="1">
      <c r="A346" s="56" t="n"/>
      <c r="B346" s="58" t="n"/>
      <c r="C346" s="128" t="n"/>
      <c r="D346" s="129" t="n"/>
      <c r="E346" s="59" t="n"/>
      <c r="F346" s="59" t="n"/>
      <c r="G346" s="59" t="n"/>
      <c r="H346" s="59" t="n"/>
      <c r="I346" s="28">
        <f>IF(OR(C346&lt;&gt;"",D346&lt;&gt;""),I345+IF(C346&lt;&gt;"",C346,0)-IF(D346&lt;&gt;"",D346,0),"")</f>
        <v/>
      </c>
    </row>
    <row r="347" ht="18" customHeight="1">
      <c r="A347" s="68" t="n"/>
      <c r="B347" s="70" t="n"/>
      <c r="C347" s="128" t="n"/>
      <c r="D347" s="129" t="n"/>
      <c r="E347" s="71" t="n"/>
      <c r="F347" s="71" t="n"/>
      <c r="G347" s="71" t="n"/>
      <c r="H347" s="71" t="n"/>
      <c r="I347" s="28">
        <f>IF(OR(C347&lt;&gt;"",D347&lt;&gt;""),I346+IF(C347&lt;&gt;"",C347,0)-IF(D347&lt;&gt;"",D347,0),"")</f>
        <v/>
      </c>
    </row>
    <row r="348" ht="18" customHeight="1">
      <c r="A348" s="56" t="n"/>
      <c r="B348" s="58" t="n"/>
      <c r="C348" s="128" t="n"/>
      <c r="D348" s="129" t="n"/>
      <c r="E348" s="59" t="n"/>
      <c r="F348" s="59" t="n"/>
      <c r="G348" s="59" t="n"/>
      <c r="H348" s="59" t="n"/>
      <c r="I348" s="28">
        <f>IF(OR(C348&lt;&gt;"",D348&lt;&gt;""),I347+IF(C348&lt;&gt;"",C348,0)-IF(D348&lt;&gt;"",D348,0),"")</f>
        <v/>
      </c>
    </row>
    <row r="349" ht="18" customHeight="1">
      <c r="A349" s="68" t="n"/>
      <c r="B349" s="70" t="n"/>
      <c r="C349" s="128" t="n"/>
      <c r="D349" s="129" t="n"/>
      <c r="E349" s="71" t="n"/>
      <c r="F349" s="71" t="n"/>
      <c r="G349" s="71" t="n"/>
      <c r="H349" s="71" t="n"/>
      <c r="I349" s="28">
        <f>IF(OR(C349&lt;&gt;"",D349&lt;&gt;""),I348+IF(C349&lt;&gt;"",C349,0)-IF(D349&lt;&gt;"",D349,0),"")</f>
        <v/>
      </c>
    </row>
    <row r="350" ht="18" customHeight="1">
      <c r="A350" s="56" t="n"/>
      <c r="B350" s="58" t="n"/>
      <c r="C350" s="128" t="n"/>
      <c r="D350" s="129" t="n"/>
      <c r="E350" s="59" t="n"/>
      <c r="F350" s="59" t="n"/>
      <c r="G350" s="59" t="n"/>
      <c r="H350" s="59" t="n"/>
      <c r="I350" s="28">
        <f>IF(OR(C350&lt;&gt;"",D350&lt;&gt;""),I349+IF(C350&lt;&gt;"",C350,0)-IF(D350&lt;&gt;"",D350,0),"")</f>
        <v/>
      </c>
    </row>
    <row r="351" ht="18" customHeight="1">
      <c r="A351" s="68" t="n"/>
      <c r="B351" s="70" t="n"/>
      <c r="C351" s="128" t="n"/>
      <c r="D351" s="129" t="n"/>
      <c r="E351" s="71" t="n"/>
      <c r="F351" s="71" t="n"/>
      <c r="G351" s="71" t="n"/>
      <c r="H351" s="71" t="n"/>
      <c r="I351" s="28">
        <f>IF(OR(C351&lt;&gt;"",D351&lt;&gt;""),I350+IF(C351&lt;&gt;"",C351,0)-IF(D351&lt;&gt;"",D351,0),"")</f>
        <v/>
      </c>
    </row>
    <row r="352" ht="18" customHeight="1">
      <c r="A352" s="56" t="n"/>
      <c r="B352" s="58" t="n"/>
      <c r="C352" s="128" t="n"/>
      <c r="D352" s="129" t="n"/>
      <c r="E352" s="59" t="n"/>
      <c r="F352" s="59" t="n"/>
      <c r="G352" s="59" t="n"/>
      <c r="H352" s="59" t="n"/>
      <c r="I352" s="28">
        <f>IF(OR(C352&lt;&gt;"",D352&lt;&gt;""),I351+IF(C352&lt;&gt;"",C352,0)-IF(D352&lt;&gt;"",D352,0),"")</f>
        <v/>
      </c>
    </row>
    <row r="353" ht="18" customHeight="1">
      <c r="A353" s="68" t="n"/>
      <c r="B353" s="70" t="n"/>
      <c r="C353" s="128" t="n"/>
      <c r="D353" s="129" t="n"/>
      <c r="E353" s="71" t="n"/>
      <c r="F353" s="71" t="n"/>
      <c r="G353" s="71" t="n"/>
      <c r="H353" s="71" t="n"/>
      <c r="I353" s="28">
        <f>IF(OR(C353&lt;&gt;"",D353&lt;&gt;""),I352+IF(C353&lt;&gt;"",C353,0)-IF(D353&lt;&gt;"",D353,0),"")</f>
        <v/>
      </c>
    </row>
    <row r="354" ht="18" customHeight="1">
      <c r="A354" s="56" t="n"/>
      <c r="B354" s="58" t="n"/>
      <c r="C354" s="128" t="n"/>
      <c r="D354" s="129" t="n"/>
      <c r="E354" s="59" t="n"/>
      <c r="F354" s="59" t="n"/>
      <c r="G354" s="59" t="n"/>
      <c r="H354" s="59" t="n"/>
      <c r="I354" s="28">
        <f>IF(OR(C354&lt;&gt;"",D354&lt;&gt;""),I353+IF(C354&lt;&gt;"",C354,0)-IF(D354&lt;&gt;"",D354,0),"")</f>
        <v/>
      </c>
    </row>
    <row r="355" ht="18" customHeight="1">
      <c r="A355" s="68" t="n"/>
      <c r="B355" s="70" t="n"/>
      <c r="C355" s="128" t="n"/>
      <c r="D355" s="129" t="n"/>
      <c r="E355" s="71" t="n"/>
      <c r="F355" s="71" t="n"/>
      <c r="G355" s="71" t="n"/>
      <c r="H355" s="71" t="n"/>
      <c r="I355" s="28">
        <f>IF(OR(C355&lt;&gt;"",D355&lt;&gt;""),I354+IF(C355&lt;&gt;"",C355,0)-IF(D355&lt;&gt;"",D355,0),"")</f>
        <v/>
      </c>
    </row>
    <row r="356" ht="18" customHeight="1">
      <c r="A356" s="56" t="n"/>
      <c r="B356" s="58" t="n"/>
      <c r="C356" s="128" t="n"/>
      <c r="D356" s="129" t="n"/>
      <c r="E356" s="59" t="n"/>
      <c r="F356" s="59" t="n"/>
      <c r="G356" s="59" t="n"/>
      <c r="H356" s="59" t="n"/>
      <c r="I356" s="28">
        <f>IF(OR(C356&lt;&gt;"",D356&lt;&gt;""),I355+IF(C356&lt;&gt;"",C356,0)-IF(D356&lt;&gt;"",D356,0),"")</f>
        <v/>
      </c>
    </row>
    <row r="357" ht="18" customHeight="1">
      <c r="A357" s="68" t="n"/>
      <c r="B357" s="70" t="n"/>
      <c r="C357" s="128" t="n"/>
      <c r="D357" s="129" t="n"/>
      <c r="E357" s="71" t="n"/>
      <c r="F357" s="71" t="n"/>
      <c r="G357" s="71" t="n"/>
      <c r="H357" s="71" t="n"/>
      <c r="I357" s="28">
        <f>IF(OR(C357&lt;&gt;"",D357&lt;&gt;""),I356+IF(C357&lt;&gt;"",C357,0)-IF(D357&lt;&gt;"",D357,0),"")</f>
        <v/>
      </c>
    </row>
    <row r="358" ht="18" customHeight="1">
      <c r="A358" s="56" t="n"/>
      <c r="B358" s="58" t="n"/>
      <c r="C358" s="128" t="n"/>
      <c r="D358" s="129" t="n"/>
      <c r="E358" s="59" t="n"/>
      <c r="F358" s="59" t="n"/>
      <c r="G358" s="59" t="n"/>
      <c r="H358" s="59" t="n"/>
      <c r="I358" s="28">
        <f>IF(OR(C358&lt;&gt;"",D358&lt;&gt;""),I357+IF(C358&lt;&gt;"",C358,0)-IF(D358&lt;&gt;"",D358,0),"")</f>
        <v/>
      </c>
    </row>
    <row r="359" ht="18" customHeight="1">
      <c r="A359" s="68" t="n"/>
      <c r="B359" s="70" t="n"/>
      <c r="C359" s="128" t="n"/>
      <c r="D359" s="129" t="n"/>
      <c r="E359" s="71" t="n"/>
      <c r="F359" s="71" t="n"/>
      <c r="G359" s="71" t="n"/>
      <c r="H359" s="71" t="n"/>
      <c r="I359" s="28">
        <f>IF(OR(C359&lt;&gt;"",D359&lt;&gt;""),I358+IF(C359&lt;&gt;"",C359,0)-IF(D359&lt;&gt;"",D359,0),"")</f>
        <v/>
      </c>
    </row>
    <row r="360" ht="18" customHeight="1">
      <c r="A360" s="56" t="n"/>
      <c r="B360" s="58" t="n"/>
      <c r="C360" s="128" t="n"/>
      <c r="D360" s="129" t="n"/>
      <c r="E360" s="59" t="n"/>
      <c r="F360" s="59" t="n"/>
      <c r="G360" s="59" t="n"/>
      <c r="H360" s="59" t="n"/>
      <c r="I360" s="28">
        <f>IF(OR(C360&lt;&gt;"",D360&lt;&gt;""),I359+IF(C360&lt;&gt;"",C360,0)-IF(D360&lt;&gt;"",D360,0),"")</f>
        <v/>
      </c>
    </row>
    <row r="361" ht="18" customHeight="1">
      <c r="A361" s="68" t="n"/>
      <c r="B361" s="70" t="n"/>
      <c r="C361" s="128" t="n"/>
      <c r="D361" s="129" t="n"/>
      <c r="E361" s="71" t="n"/>
      <c r="F361" s="71" t="n"/>
      <c r="G361" s="71" t="n"/>
      <c r="H361" s="71" t="n"/>
      <c r="I361" s="28">
        <f>IF(OR(C361&lt;&gt;"",D361&lt;&gt;""),I360+IF(C361&lt;&gt;"",C361,0)-IF(D361&lt;&gt;"",D361,0),"")</f>
        <v/>
      </c>
    </row>
    <row r="362" ht="18" customHeight="1">
      <c r="A362" s="56" t="n"/>
      <c r="B362" s="58" t="n"/>
      <c r="C362" s="128" t="n"/>
      <c r="D362" s="129" t="n"/>
      <c r="E362" s="59" t="n"/>
      <c r="F362" s="59" t="n"/>
      <c r="G362" s="59" t="n"/>
      <c r="H362" s="59" t="n"/>
      <c r="I362" s="28">
        <f>IF(OR(C362&lt;&gt;"",D362&lt;&gt;""),I361+IF(C362&lt;&gt;"",C362,0)-IF(D362&lt;&gt;"",D362,0),"")</f>
        <v/>
      </c>
    </row>
    <row r="363" ht="18" customHeight="1">
      <c r="A363" s="68" t="n"/>
      <c r="B363" s="70" t="n"/>
      <c r="C363" s="128" t="n"/>
      <c r="D363" s="129" t="n"/>
      <c r="E363" s="71" t="n"/>
      <c r="F363" s="71" t="n"/>
      <c r="G363" s="71" t="n"/>
      <c r="H363" s="71" t="n"/>
      <c r="I363" s="28">
        <f>IF(OR(C363&lt;&gt;"",D363&lt;&gt;""),I362+IF(C363&lt;&gt;"",C363,0)-IF(D363&lt;&gt;"",D363,0),"")</f>
        <v/>
      </c>
    </row>
    <row r="364" ht="18" customHeight="1">
      <c r="A364" s="56" t="n"/>
      <c r="B364" s="58" t="n"/>
      <c r="C364" s="128" t="n"/>
      <c r="D364" s="129" t="n"/>
      <c r="E364" s="59" t="n"/>
      <c r="F364" s="59" t="n"/>
      <c r="G364" s="59" t="n"/>
      <c r="H364" s="59" t="n"/>
      <c r="I364" s="28">
        <f>IF(OR(C364&lt;&gt;"",D364&lt;&gt;""),I363+IF(C364&lt;&gt;"",C364,0)-IF(D364&lt;&gt;"",D364,0),"")</f>
        <v/>
      </c>
    </row>
    <row r="365" ht="18" customHeight="1">
      <c r="A365" s="68" t="n"/>
      <c r="B365" s="70" t="n"/>
      <c r="C365" s="128" t="n"/>
      <c r="D365" s="129" t="n"/>
      <c r="E365" s="71" t="n"/>
      <c r="F365" s="71" t="n"/>
      <c r="G365" s="71" t="n"/>
      <c r="H365" s="71" t="n"/>
      <c r="I365" s="28">
        <f>IF(OR(C365&lt;&gt;"",D365&lt;&gt;""),I364+IF(C365&lt;&gt;"",C365,0)-IF(D365&lt;&gt;"",D365,0),"")</f>
        <v/>
      </c>
    </row>
    <row r="366" ht="18" customHeight="1">
      <c r="A366" s="56" t="n"/>
      <c r="B366" s="58" t="n"/>
      <c r="C366" s="128" t="n"/>
      <c r="D366" s="129" t="n"/>
      <c r="E366" s="59" t="n"/>
      <c r="F366" s="59" t="n"/>
      <c r="G366" s="59" t="n"/>
      <c r="H366" s="59" t="n"/>
      <c r="I366" s="28">
        <f>IF(OR(C366&lt;&gt;"",D366&lt;&gt;""),I365+IF(C366&lt;&gt;"",C366,0)-IF(D366&lt;&gt;"",D366,0),"")</f>
        <v/>
      </c>
    </row>
    <row r="367" ht="18" customHeight="1">
      <c r="A367" s="68" t="n"/>
      <c r="B367" s="70" t="n"/>
      <c r="C367" s="128" t="n"/>
      <c r="D367" s="129" t="n"/>
      <c r="E367" s="71" t="n"/>
      <c r="F367" s="71" t="n"/>
      <c r="G367" s="71" t="n"/>
      <c r="H367" s="71" t="n"/>
      <c r="I367" s="28">
        <f>IF(OR(C367&lt;&gt;"",D367&lt;&gt;""),I366+IF(C367&lt;&gt;"",C367,0)-IF(D367&lt;&gt;"",D367,0),"")</f>
        <v/>
      </c>
    </row>
    <row r="368" ht="18" customHeight="1">
      <c r="A368" s="56" t="n"/>
      <c r="B368" s="58" t="n"/>
      <c r="C368" s="128" t="n"/>
      <c r="D368" s="129" t="n"/>
      <c r="E368" s="59" t="n"/>
      <c r="F368" s="59" t="n"/>
      <c r="G368" s="59" t="n"/>
      <c r="H368" s="59" t="n"/>
      <c r="I368" s="28">
        <f>IF(OR(C368&lt;&gt;"",D368&lt;&gt;""),I367+IF(C368&lt;&gt;"",C368,0)-IF(D368&lt;&gt;"",D368,0),"")</f>
        <v/>
      </c>
    </row>
    <row r="369" ht="18" customHeight="1">
      <c r="A369" s="68" t="n"/>
      <c r="B369" s="70" t="n"/>
      <c r="C369" s="128" t="n"/>
      <c r="D369" s="129" t="n"/>
      <c r="E369" s="71" t="n"/>
      <c r="F369" s="71" t="n"/>
      <c r="G369" s="71" t="n"/>
      <c r="H369" s="71" t="n"/>
      <c r="I369" s="28">
        <f>IF(OR(C369&lt;&gt;"",D369&lt;&gt;""),I368+IF(C369&lt;&gt;"",C369,0)-IF(D369&lt;&gt;"",D369,0),"")</f>
        <v/>
      </c>
    </row>
    <row r="370" ht="18" customHeight="1">
      <c r="A370" s="56" t="n"/>
      <c r="B370" s="58" t="n"/>
      <c r="C370" s="128" t="n"/>
      <c r="D370" s="129" t="n"/>
      <c r="E370" s="59" t="n"/>
      <c r="F370" s="59" t="n"/>
      <c r="G370" s="59" t="n"/>
      <c r="H370" s="59" t="n"/>
      <c r="I370" s="28">
        <f>IF(OR(C370&lt;&gt;"",D370&lt;&gt;""),I369+IF(C370&lt;&gt;"",C370,0)-IF(D370&lt;&gt;"",D370,0),"")</f>
        <v/>
      </c>
    </row>
    <row r="371" ht="18" customHeight="1">
      <c r="A371" s="68" t="n"/>
      <c r="B371" s="70" t="n"/>
      <c r="C371" s="128" t="n"/>
      <c r="D371" s="129" t="n"/>
      <c r="E371" s="71" t="n"/>
      <c r="F371" s="71" t="n"/>
      <c r="G371" s="71" t="n"/>
      <c r="H371" s="71" t="n"/>
      <c r="I371" s="28">
        <f>IF(OR(C371&lt;&gt;"",D371&lt;&gt;""),I370+IF(C371&lt;&gt;"",C371,0)-IF(D371&lt;&gt;"",D371,0),"")</f>
        <v/>
      </c>
    </row>
    <row r="372" ht="18" customHeight="1">
      <c r="A372" s="56" t="n"/>
      <c r="B372" s="58" t="n"/>
      <c r="C372" s="128" t="n"/>
      <c r="D372" s="129" t="n"/>
      <c r="E372" s="59" t="n"/>
      <c r="F372" s="59" t="n"/>
      <c r="G372" s="59" t="n"/>
      <c r="H372" s="59" t="n"/>
      <c r="I372" s="28">
        <f>IF(OR(C372&lt;&gt;"",D372&lt;&gt;""),I371+IF(C372&lt;&gt;"",C372,0)-IF(D372&lt;&gt;"",D372,0),"")</f>
        <v/>
      </c>
    </row>
    <row r="373" ht="18" customHeight="1">
      <c r="A373" s="68" t="n"/>
      <c r="B373" s="70" t="n"/>
      <c r="C373" s="128" t="n"/>
      <c r="D373" s="129" t="n"/>
      <c r="E373" s="71" t="n"/>
      <c r="F373" s="71" t="n"/>
      <c r="G373" s="71" t="n"/>
      <c r="H373" s="71" t="n"/>
      <c r="I373" s="28">
        <f>IF(OR(C373&lt;&gt;"",D373&lt;&gt;""),I372+IF(C373&lt;&gt;"",C373,0)-IF(D373&lt;&gt;"",D373,0),"")</f>
        <v/>
      </c>
    </row>
    <row r="374" ht="18" customHeight="1">
      <c r="A374" s="56" t="n"/>
      <c r="B374" s="58" t="n"/>
      <c r="C374" s="128" t="n"/>
      <c r="D374" s="129" t="n"/>
      <c r="E374" s="59" t="n"/>
      <c r="F374" s="59" t="n"/>
      <c r="G374" s="59" t="n"/>
      <c r="H374" s="59" t="n"/>
      <c r="I374" s="28">
        <f>IF(OR(C374&lt;&gt;"",D374&lt;&gt;""),I373+IF(C374&lt;&gt;"",C374,0)-IF(D374&lt;&gt;"",D374,0),"")</f>
        <v/>
      </c>
    </row>
    <row r="375" ht="18" customHeight="1">
      <c r="A375" s="68" t="n"/>
      <c r="B375" s="70" t="n"/>
      <c r="C375" s="128" t="n"/>
      <c r="D375" s="129" t="n"/>
      <c r="E375" s="71" t="n"/>
      <c r="F375" s="71" t="n"/>
      <c r="G375" s="71" t="n"/>
      <c r="H375" s="71" t="n"/>
      <c r="I375" s="28">
        <f>IF(OR(C375&lt;&gt;"",D375&lt;&gt;""),I374+IF(C375&lt;&gt;"",C375,0)-IF(D375&lt;&gt;"",D375,0),"")</f>
        <v/>
      </c>
    </row>
    <row r="376" ht="18" customHeight="1">
      <c r="A376" s="56" t="n"/>
      <c r="B376" s="58" t="n"/>
      <c r="C376" s="128" t="n"/>
      <c r="D376" s="129" t="n"/>
      <c r="E376" s="59" t="n"/>
      <c r="F376" s="59" t="n"/>
      <c r="G376" s="59" t="n"/>
      <c r="H376" s="59" t="n"/>
      <c r="I376" s="28">
        <f>IF(OR(C376&lt;&gt;"",D376&lt;&gt;""),I375+IF(C376&lt;&gt;"",C376,0)-IF(D376&lt;&gt;"",D376,0),"")</f>
        <v/>
      </c>
    </row>
    <row r="377" ht="18" customHeight="1">
      <c r="A377" s="68" t="n"/>
      <c r="B377" s="70" t="n"/>
      <c r="C377" s="128" t="n"/>
      <c r="D377" s="129" t="n"/>
      <c r="E377" s="71" t="n"/>
      <c r="F377" s="71" t="n"/>
      <c r="G377" s="71" t="n"/>
      <c r="H377" s="71" t="n"/>
      <c r="I377" s="28">
        <f>IF(OR(C377&lt;&gt;"",D377&lt;&gt;""),I376+IF(C377&lt;&gt;"",C377,0)-IF(D377&lt;&gt;"",D377,0),"")</f>
        <v/>
      </c>
    </row>
    <row r="378" ht="18" customHeight="1">
      <c r="A378" s="56" t="n"/>
      <c r="B378" s="58" t="n"/>
      <c r="C378" s="128" t="n"/>
      <c r="D378" s="129" t="n"/>
      <c r="E378" s="59" t="n"/>
      <c r="F378" s="59" t="n"/>
      <c r="G378" s="59" t="n"/>
      <c r="H378" s="59" t="n"/>
      <c r="I378" s="28">
        <f>IF(OR(C378&lt;&gt;"",D378&lt;&gt;""),I377+IF(C378&lt;&gt;"",C378,0)-IF(D378&lt;&gt;"",D378,0),"")</f>
        <v/>
      </c>
    </row>
    <row r="379" ht="18" customHeight="1">
      <c r="A379" s="68" t="n"/>
      <c r="B379" s="70" t="n"/>
      <c r="C379" s="128" t="n"/>
      <c r="D379" s="129" t="n"/>
      <c r="E379" s="71" t="n"/>
      <c r="F379" s="71" t="n"/>
      <c r="G379" s="71" t="n"/>
      <c r="H379" s="71" t="n"/>
      <c r="I379" s="28">
        <f>IF(OR(C379&lt;&gt;"",D379&lt;&gt;""),I378+IF(C379&lt;&gt;"",C379,0)-IF(D379&lt;&gt;"",D379,0),"")</f>
        <v/>
      </c>
    </row>
    <row r="380" ht="18" customHeight="1">
      <c r="A380" s="56" t="n"/>
      <c r="B380" s="58" t="n"/>
      <c r="C380" s="128" t="n"/>
      <c r="D380" s="129" t="n"/>
      <c r="E380" s="59" t="n"/>
      <c r="F380" s="59" t="n"/>
      <c r="G380" s="59" t="n"/>
      <c r="H380" s="59" t="n"/>
      <c r="I380" s="28">
        <f>IF(OR(C380&lt;&gt;"",D380&lt;&gt;""),I379+IF(C380&lt;&gt;"",C380,0)-IF(D380&lt;&gt;"",D380,0),"")</f>
        <v/>
      </c>
    </row>
    <row r="381" ht="18" customHeight="1">
      <c r="A381" s="68" t="n"/>
      <c r="B381" s="70" t="n"/>
      <c r="C381" s="128" t="n"/>
      <c r="D381" s="129" t="n"/>
      <c r="E381" s="71" t="n"/>
      <c r="F381" s="71" t="n"/>
      <c r="G381" s="71" t="n"/>
      <c r="H381" s="71" t="n"/>
      <c r="I381" s="28">
        <f>IF(OR(C381&lt;&gt;"",D381&lt;&gt;""),I380+IF(C381&lt;&gt;"",C381,0)-IF(D381&lt;&gt;"",D381,0),"")</f>
        <v/>
      </c>
    </row>
    <row r="382" ht="18" customHeight="1">
      <c r="A382" s="56" t="n"/>
      <c r="B382" s="58" t="n"/>
      <c r="C382" s="128" t="n"/>
      <c r="D382" s="129" t="n"/>
      <c r="E382" s="59" t="n"/>
      <c r="F382" s="59" t="n"/>
      <c r="G382" s="59" t="n"/>
      <c r="H382" s="59" t="n"/>
      <c r="I382" s="28">
        <f>IF(OR(C382&lt;&gt;"",D382&lt;&gt;""),I381+IF(C382&lt;&gt;"",C382,0)-IF(D382&lt;&gt;"",D382,0),"")</f>
        <v/>
      </c>
    </row>
    <row r="383" ht="18" customHeight="1">
      <c r="A383" s="68" t="n"/>
      <c r="B383" s="70" t="n"/>
      <c r="C383" s="128" t="n"/>
      <c r="D383" s="129" t="n"/>
      <c r="E383" s="71" t="n"/>
      <c r="F383" s="71" t="n"/>
      <c r="G383" s="71" t="n"/>
      <c r="H383" s="71" t="n"/>
      <c r="I383" s="28">
        <f>IF(OR(C383&lt;&gt;"",D383&lt;&gt;""),I382+IF(C383&lt;&gt;"",C383,0)-IF(D383&lt;&gt;"",D383,0),"")</f>
        <v/>
      </c>
    </row>
    <row r="384" ht="18" customHeight="1">
      <c r="A384" s="56" t="n"/>
      <c r="B384" s="58" t="n"/>
      <c r="C384" s="128" t="n"/>
      <c r="D384" s="129" t="n"/>
      <c r="E384" s="59" t="n"/>
      <c r="F384" s="59" t="n"/>
      <c r="G384" s="59" t="n"/>
      <c r="H384" s="59" t="n"/>
      <c r="I384" s="28">
        <f>IF(OR(C384&lt;&gt;"",D384&lt;&gt;""),I383+IF(C384&lt;&gt;"",C384,0)-IF(D384&lt;&gt;"",D384,0),"")</f>
        <v/>
      </c>
    </row>
    <row r="385" ht="18" customHeight="1">
      <c r="A385" s="68" t="n"/>
      <c r="B385" s="70" t="n"/>
      <c r="C385" s="128" t="n"/>
      <c r="D385" s="129" t="n"/>
      <c r="E385" s="71" t="n"/>
      <c r="F385" s="71" t="n"/>
      <c r="G385" s="71" t="n"/>
      <c r="H385" s="71" t="n"/>
      <c r="I385" s="28">
        <f>IF(OR(C385&lt;&gt;"",D385&lt;&gt;""),I384+IF(C385&lt;&gt;"",C385,0)-IF(D385&lt;&gt;"",D385,0),"")</f>
        <v/>
      </c>
    </row>
    <row r="386" ht="18" customHeight="1">
      <c r="A386" s="56" t="n"/>
      <c r="B386" s="58" t="n"/>
      <c r="C386" s="128" t="n"/>
      <c r="D386" s="129" t="n"/>
      <c r="E386" s="59" t="n"/>
      <c r="F386" s="59" t="n"/>
      <c r="G386" s="59" t="n"/>
      <c r="H386" s="59" t="n"/>
      <c r="I386" s="28">
        <f>IF(OR(C386&lt;&gt;"",D386&lt;&gt;""),I385+IF(C386&lt;&gt;"",C386,0)-IF(D386&lt;&gt;"",D386,0),"")</f>
        <v/>
      </c>
    </row>
    <row r="387" ht="18" customHeight="1">
      <c r="A387" s="68" t="n"/>
      <c r="B387" s="70" t="n"/>
      <c r="C387" s="128" t="n"/>
      <c r="D387" s="129" t="n"/>
      <c r="E387" s="71" t="n"/>
      <c r="F387" s="71" t="n"/>
      <c r="G387" s="71" t="n"/>
      <c r="H387" s="71" t="n"/>
      <c r="I387" s="28">
        <f>IF(OR(C387&lt;&gt;"",D387&lt;&gt;""),I386+IF(C387&lt;&gt;"",C387,0)-IF(D387&lt;&gt;"",D387,0),"")</f>
        <v/>
      </c>
    </row>
    <row r="388" ht="18" customHeight="1">
      <c r="A388" s="56" t="n"/>
      <c r="B388" s="58" t="n"/>
      <c r="C388" s="128" t="n"/>
      <c r="D388" s="129" t="n"/>
      <c r="E388" s="59" t="n"/>
      <c r="F388" s="59" t="n"/>
      <c r="G388" s="59" t="n"/>
      <c r="H388" s="59" t="n"/>
      <c r="I388" s="28">
        <f>IF(OR(C388&lt;&gt;"",D388&lt;&gt;""),I387+IF(C388&lt;&gt;"",C388,0)-IF(D388&lt;&gt;"",D388,0),"")</f>
        <v/>
      </c>
    </row>
    <row r="389" ht="18" customHeight="1">
      <c r="A389" s="68" t="n"/>
      <c r="B389" s="70" t="n"/>
      <c r="C389" s="128" t="n"/>
      <c r="D389" s="129" t="n"/>
      <c r="E389" s="71" t="n"/>
      <c r="F389" s="71" t="n"/>
      <c r="G389" s="71" t="n"/>
      <c r="H389" s="71" t="n"/>
      <c r="I389" s="28">
        <f>IF(OR(C389&lt;&gt;"",D389&lt;&gt;""),I388+IF(C389&lt;&gt;"",C389,0)-IF(D389&lt;&gt;"",D389,0),"")</f>
        <v/>
      </c>
    </row>
    <row r="390" ht="18" customHeight="1">
      <c r="A390" s="56" t="n"/>
      <c r="B390" s="58" t="n"/>
      <c r="C390" s="128" t="n"/>
      <c r="D390" s="129" t="n"/>
      <c r="E390" s="59" t="n"/>
      <c r="F390" s="59" t="n"/>
      <c r="G390" s="59" t="n"/>
      <c r="H390" s="59" t="n"/>
      <c r="I390" s="28">
        <f>IF(OR(C390&lt;&gt;"",D390&lt;&gt;""),I389+IF(C390&lt;&gt;"",C390,0)-IF(D390&lt;&gt;"",D390,0),"")</f>
        <v/>
      </c>
    </row>
    <row r="391" ht="18" customHeight="1">
      <c r="A391" s="68" t="n"/>
      <c r="B391" s="70" t="n"/>
      <c r="C391" s="128" t="n"/>
      <c r="D391" s="129" t="n"/>
      <c r="E391" s="71" t="n"/>
      <c r="F391" s="71" t="n"/>
      <c r="G391" s="71" t="n"/>
      <c r="H391" s="71" t="n"/>
      <c r="I391" s="28">
        <f>IF(OR(C391&lt;&gt;"",D391&lt;&gt;""),I390+IF(C391&lt;&gt;"",C391,0)-IF(D391&lt;&gt;"",D391,0),"")</f>
        <v/>
      </c>
    </row>
    <row r="392" ht="18" customHeight="1">
      <c r="A392" s="56" t="n"/>
      <c r="B392" s="58" t="n"/>
      <c r="C392" s="128" t="n"/>
      <c r="D392" s="129" t="n"/>
      <c r="E392" s="59" t="n"/>
      <c r="F392" s="59" t="n"/>
      <c r="G392" s="59" t="n"/>
      <c r="H392" s="59" t="n"/>
      <c r="I392" s="28">
        <f>IF(OR(C392&lt;&gt;"",D392&lt;&gt;""),I391+IF(C392&lt;&gt;"",C392,0)-IF(D392&lt;&gt;"",D392,0),"")</f>
        <v/>
      </c>
    </row>
    <row r="393" ht="18" customHeight="1">
      <c r="A393" s="68" t="n"/>
      <c r="B393" s="70" t="n"/>
      <c r="C393" s="128" t="n"/>
      <c r="D393" s="129" t="n"/>
      <c r="E393" s="71" t="n"/>
      <c r="F393" s="71" t="n"/>
      <c r="G393" s="71" t="n"/>
      <c r="H393" s="71" t="n"/>
      <c r="I393" s="28">
        <f>IF(OR(C393&lt;&gt;"",D393&lt;&gt;""),I392+IF(C393&lt;&gt;"",C393,0)-IF(D393&lt;&gt;"",D393,0),"")</f>
        <v/>
      </c>
    </row>
    <row r="394" ht="18" customHeight="1">
      <c r="A394" s="56" t="n"/>
      <c r="B394" s="58" t="n"/>
      <c r="C394" s="128" t="n"/>
      <c r="D394" s="129" t="n"/>
      <c r="E394" s="59" t="n"/>
      <c r="F394" s="59" t="n"/>
      <c r="G394" s="59" t="n"/>
      <c r="H394" s="59" t="n"/>
      <c r="I394" s="28">
        <f>IF(OR(C394&lt;&gt;"",D394&lt;&gt;""),I393+IF(C394&lt;&gt;"",C394,0)-IF(D394&lt;&gt;"",D394,0),"")</f>
        <v/>
      </c>
    </row>
    <row r="395" ht="18" customHeight="1">
      <c r="A395" s="68" t="n"/>
      <c r="B395" s="70" t="n"/>
      <c r="C395" s="128" t="n"/>
      <c r="D395" s="129" t="n"/>
      <c r="E395" s="71" t="n"/>
      <c r="F395" s="71" t="n"/>
      <c r="G395" s="71" t="n"/>
      <c r="H395" s="71" t="n"/>
      <c r="I395" s="28">
        <f>IF(OR(C395&lt;&gt;"",D395&lt;&gt;""),I394+IF(C395&lt;&gt;"",C395,0)-IF(D395&lt;&gt;"",D395,0),"")</f>
        <v/>
      </c>
    </row>
    <row r="396" ht="18" customHeight="1">
      <c r="A396" s="56" t="n"/>
      <c r="B396" s="58" t="n"/>
      <c r="C396" s="128" t="n"/>
      <c r="D396" s="129" t="n"/>
      <c r="E396" s="59" t="n"/>
      <c r="F396" s="59" t="n"/>
      <c r="G396" s="59" t="n"/>
      <c r="H396" s="59" t="n"/>
      <c r="I396" s="28">
        <f>IF(OR(C396&lt;&gt;"",D396&lt;&gt;""),I395+IF(C396&lt;&gt;"",C396,0)-IF(D396&lt;&gt;"",D396,0),"")</f>
        <v/>
      </c>
    </row>
    <row r="397" ht="18" customHeight="1">
      <c r="A397" s="68" t="n"/>
      <c r="B397" s="70" t="n"/>
      <c r="C397" s="128" t="n"/>
      <c r="D397" s="129" t="n"/>
      <c r="E397" s="71" t="n"/>
      <c r="F397" s="71" t="n"/>
      <c r="G397" s="71" t="n"/>
      <c r="H397" s="71" t="n"/>
      <c r="I397" s="28">
        <f>IF(OR(C397&lt;&gt;"",D397&lt;&gt;""),I396+IF(C397&lt;&gt;"",C397,0)-IF(D397&lt;&gt;"",D397,0),"")</f>
        <v/>
      </c>
    </row>
    <row r="398" ht="18" customHeight="1">
      <c r="A398" s="56" t="n"/>
      <c r="B398" s="58" t="n"/>
      <c r="C398" s="128" t="n"/>
      <c r="D398" s="129" t="n"/>
      <c r="E398" s="59" t="n"/>
      <c r="F398" s="59" t="n"/>
      <c r="G398" s="59" t="n"/>
      <c r="H398" s="59" t="n"/>
      <c r="I398" s="28">
        <f>IF(OR(C398&lt;&gt;"",D398&lt;&gt;""),I397+IF(C398&lt;&gt;"",C398,0)-IF(D398&lt;&gt;"",D398,0),"")</f>
        <v/>
      </c>
    </row>
    <row r="399" ht="18" customHeight="1">
      <c r="A399" s="68" t="n"/>
      <c r="B399" s="70" t="n"/>
      <c r="C399" s="128" t="n"/>
      <c r="D399" s="129" t="n"/>
      <c r="E399" s="71" t="n"/>
      <c r="F399" s="71" t="n"/>
      <c r="G399" s="71" t="n"/>
      <c r="H399" s="71" t="n"/>
      <c r="I399" s="28">
        <f>IF(OR(C399&lt;&gt;"",D399&lt;&gt;""),I398+IF(C399&lt;&gt;"",C399,0)-IF(D399&lt;&gt;"",D399,0),"")</f>
        <v/>
      </c>
    </row>
    <row r="400" ht="18" customHeight="1">
      <c r="A400" s="56" t="n"/>
      <c r="B400" s="58" t="n"/>
      <c r="C400" s="128" t="n"/>
      <c r="D400" s="129" t="n"/>
      <c r="E400" s="59" t="n"/>
      <c r="F400" s="59" t="n"/>
      <c r="G400" s="59" t="n"/>
      <c r="H400" s="59" t="n"/>
      <c r="I400" s="28">
        <f>IF(OR(C400&lt;&gt;"",D400&lt;&gt;""),I399+IF(C400&lt;&gt;"",C400,0)-IF(D400&lt;&gt;"",D400,0),"")</f>
        <v/>
      </c>
    </row>
    <row r="401" ht="18" customHeight="1">
      <c r="A401" s="68" t="n"/>
      <c r="B401" s="70" t="n"/>
      <c r="C401" s="128" t="n"/>
      <c r="D401" s="129" t="n"/>
      <c r="E401" s="71" t="n"/>
      <c r="F401" s="71" t="n"/>
      <c r="G401" s="71" t="n"/>
      <c r="H401" s="71" t="n"/>
      <c r="I401" s="28">
        <f>IF(OR(C401&lt;&gt;"",D401&lt;&gt;""),I400+IF(C401&lt;&gt;"",C401,0)-IF(D401&lt;&gt;"",D401,0),"")</f>
        <v/>
      </c>
    </row>
    <row r="402" ht="18" customHeight="1">
      <c r="A402" s="56" t="n"/>
      <c r="B402" s="58" t="n"/>
      <c r="C402" s="128" t="n"/>
      <c r="D402" s="129" t="n"/>
      <c r="E402" s="59" t="n"/>
      <c r="F402" s="59" t="n"/>
      <c r="G402" s="59" t="n"/>
      <c r="H402" s="59" t="n"/>
      <c r="I402" s="28">
        <f>IF(OR(C402&lt;&gt;"",D402&lt;&gt;""),I401+IF(C402&lt;&gt;"",C402,0)-IF(D402&lt;&gt;"",D402,0),"")</f>
        <v/>
      </c>
    </row>
    <row r="403" ht="18" customHeight="1">
      <c r="A403" s="68" t="n"/>
      <c r="B403" s="70" t="n"/>
      <c r="C403" s="128" t="n"/>
      <c r="D403" s="129" t="n"/>
      <c r="E403" s="71" t="n"/>
      <c r="F403" s="71" t="n"/>
      <c r="G403" s="71" t="n"/>
      <c r="H403" s="71" t="n"/>
      <c r="I403" s="28">
        <f>IF(OR(C403&lt;&gt;"",D403&lt;&gt;""),I402+IF(C403&lt;&gt;"",C403,0)-IF(D403&lt;&gt;"",D403,0),"")</f>
        <v/>
      </c>
    </row>
    <row r="404" ht="18" customHeight="1">
      <c r="A404" s="56" t="n"/>
      <c r="B404" s="58" t="n"/>
      <c r="C404" s="128" t="n"/>
      <c r="D404" s="129" t="n"/>
      <c r="E404" s="59" t="n"/>
      <c r="F404" s="59" t="n"/>
      <c r="G404" s="59" t="n"/>
      <c r="H404" s="59" t="n"/>
      <c r="I404" s="28">
        <f>IF(OR(C404&lt;&gt;"",D404&lt;&gt;""),I403+IF(C404&lt;&gt;"",C404,0)-IF(D404&lt;&gt;"",D404,0),"")</f>
        <v/>
      </c>
    </row>
    <row r="405" ht="18" customHeight="1">
      <c r="A405" s="68" t="n"/>
      <c r="B405" s="70" t="n"/>
      <c r="C405" s="128" t="n"/>
      <c r="D405" s="129" t="n"/>
      <c r="E405" s="71" t="n"/>
      <c r="F405" s="71" t="n"/>
      <c r="G405" s="71" t="n"/>
      <c r="H405" s="71" t="n"/>
      <c r="I405" s="28">
        <f>IF(OR(C405&lt;&gt;"",D405&lt;&gt;""),I404+IF(C405&lt;&gt;"",C405,0)-IF(D405&lt;&gt;"",D405,0),"")</f>
        <v/>
      </c>
    </row>
    <row r="406" ht="18" customHeight="1">
      <c r="A406" s="56" t="n"/>
      <c r="B406" s="58" t="n"/>
      <c r="C406" s="128" t="n"/>
      <c r="D406" s="129" t="n"/>
      <c r="E406" s="59" t="n"/>
      <c r="F406" s="59" t="n"/>
      <c r="G406" s="59" t="n"/>
      <c r="H406" s="59" t="n"/>
      <c r="I406" s="28">
        <f>IF(OR(C406&lt;&gt;"",D406&lt;&gt;""),I405+IF(C406&lt;&gt;"",C406,0)-IF(D406&lt;&gt;"",D406,0),"")</f>
        <v/>
      </c>
    </row>
    <row r="407" ht="18" customHeight="1">
      <c r="A407" s="68" t="n"/>
      <c r="B407" s="70" t="n"/>
      <c r="C407" s="128" t="n"/>
      <c r="D407" s="129" t="n"/>
      <c r="E407" s="71" t="n"/>
      <c r="F407" s="71" t="n"/>
      <c r="G407" s="71" t="n"/>
      <c r="H407" s="71" t="n"/>
      <c r="I407" s="28">
        <f>IF(OR(C407&lt;&gt;"",D407&lt;&gt;""),I406+IF(C407&lt;&gt;"",C407,0)-IF(D407&lt;&gt;"",D407,0),"")</f>
        <v/>
      </c>
    </row>
    <row r="408" ht="18" customHeight="1">
      <c r="A408" s="56" t="n"/>
      <c r="B408" s="58" t="n"/>
      <c r="C408" s="128" t="n"/>
      <c r="D408" s="129" t="n"/>
      <c r="E408" s="59" t="n"/>
      <c r="F408" s="59" t="n"/>
      <c r="G408" s="59" t="n"/>
      <c r="H408" s="59" t="n"/>
      <c r="I408" s="28">
        <f>IF(OR(C408&lt;&gt;"",D408&lt;&gt;""),I407+IF(C408&lt;&gt;"",C408,0)-IF(D408&lt;&gt;"",D408,0),"")</f>
        <v/>
      </c>
    </row>
    <row r="409" ht="18" customHeight="1">
      <c r="A409" s="68" t="n"/>
      <c r="B409" s="70" t="n"/>
      <c r="C409" s="128" t="n"/>
      <c r="D409" s="129" t="n"/>
      <c r="E409" s="71" t="n"/>
      <c r="F409" s="71" t="n"/>
      <c r="G409" s="71" t="n"/>
      <c r="H409" s="71" t="n"/>
      <c r="I409" s="28">
        <f>IF(OR(C409&lt;&gt;"",D409&lt;&gt;""),I408+IF(C409&lt;&gt;"",C409,0)-IF(D409&lt;&gt;"",D409,0),"")</f>
        <v/>
      </c>
    </row>
    <row r="410" ht="18" customHeight="1">
      <c r="A410" s="56" t="n"/>
      <c r="B410" s="58" t="n"/>
      <c r="C410" s="128" t="n"/>
      <c r="D410" s="129" t="n"/>
      <c r="E410" s="59" t="n"/>
      <c r="F410" s="59" t="n"/>
      <c r="G410" s="59" t="n"/>
      <c r="H410" s="59" t="n"/>
      <c r="I410" s="28">
        <f>IF(OR(C410&lt;&gt;"",D410&lt;&gt;""),I409+IF(C410&lt;&gt;"",C410,0)-IF(D410&lt;&gt;"",D410,0),"")</f>
        <v/>
      </c>
    </row>
    <row r="411" ht="18" customHeight="1">
      <c r="A411" s="68" t="n"/>
      <c r="B411" s="70" t="n"/>
      <c r="C411" s="128" t="n"/>
      <c r="D411" s="129" t="n"/>
      <c r="E411" s="71" t="n"/>
      <c r="F411" s="71" t="n"/>
      <c r="G411" s="71" t="n"/>
      <c r="H411" s="71" t="n"/>
      <c r="I411" s="28">
        <f>IF(OR(C411&lt;&gt;"",D411&lt;&gt;""),I410+IF(C411&lt;&gt;"",C411,0)-IF(D411&lt;&gt;"",D411,0),"")</f>
        <v/>
      </c>
    </row>
    <row r="412" ht="18" customHeight="1">
      <c r="A412" s="56" t="n"/>
      <c r="B412" s="58" t="n"/>
      <c r="C412" s="128" t="n"/>
      <c r="D412" s="129" t="n"/>
      <c r="E412" s="59" t="n"/>
      <c r="F412" s="59" t="n"/>
      <c r="G412" s="59" t="n"/>
      <c r="H412" s="59" t="n"/>
      <c r="I412" s="28">
        <f>IF(OR(C412&lt;&gt;"",D412&lt;&gt;""),I411+IF(C412&lt;&gt;"",C412,0)-IF(D412&lt;&gt;"",D412,0),"")</f>
        <v/>
      </c>
    </row>
    <row r="413" ht="18" customHeight="1">
      <c r="A413" s="68" t="n"/>
      <c r="B413" s="70" t="n"/>
      <c r="C413" s="128" t="n"/>
      <c r="D413" s="129" t="n"/>
      <c r="E413" s="71" t="n"/>
      <c r="F413" s="71" t="n"/>
      <c r="G413" s="71" t="n"/>
      <c r="H413" s="71" t="n"/>
      <c r="I413" s="28">
        <f>IF(OR(C413&lt;&gt;"",D413&lt;&gt;""),I412+IF(C413&lt;&gt;"",C413,0)-IF(D413&lt;&gt;"",D413,0),"")</f>
        <v/>
      </c>
    </row>
    <row r="414" ht="18" customHeight="1">
      <c r="A414" s="56" t="n"/>
      <c r="B414" s="58" t="n"/>
      <c r="C414" s="128" t="n"/>
      <c r="D414" s="129" t="n"/>
      <c r="E414" s="59" t="n"/>
      <c r="F414" s="59" t="n"/>
      <c r="G414" s="59" t="n"/>
      <c r="H414" s="59" t="n"/>
      <c r="I414" s="28">
        <f>IF(OR(C414&lt;&gt;"",D414&lt;&gt;""),I413+IF(C414&lt;&gt;"",C414,0)-IF(D414&lt;&gt;"",D414,0),"")</f>
        <v/>
      </c>
    </row>
    <row r="415" ht="18" customHeight="1">
      <c r="A415" s="68" t="n"/>
      <c r="B415" s="70" t="n"/>
      <c r="C415" s="128" t="n"/>
      <c r="D415" s="129" t="n"/>
      <c r="E415" s="71" t="n"/>
      <c r="F415" s="71" t="n"/>
      <c r="G415" s="71" t="n"/>
      <c r="H415" s="71" t="n"/>
      <c r="I415" s="28">
        <f>IF(OR(C415&lt;&gt;"",D415&lt;&gt;""),I414+IF(C415&lt;&gt;"",C415,0)-IF(D415&lt;&gt;"",D415,0),"")</f>
        <v/>
      </c>
    </row>
    <row r="416" ht="18" customHeight="1">
      <c r="A416" s="56" t="n"/>
      <c r="B416" s="58" t="n"/>
      <c r="C416" s="128" t="n"/>
      <c r="D416" s="129" t="n"/>
      <c r="E416" s="59" t="n"/>
      <c r="F416" s="59" t="n"/>
      <c r="G416" s="59" t="n"/>
      <c r="H416" s="59" t="n"/>
      <c r="I416" s="28">
        <f>IF(OR(C416&lt;&gt;"",D416&lt;&gt;""),I415+IF(C416&lt;&gt;"",C416,0)-IF(D416&lt;&gt;"",D416,0),"")</f>
        <v/>
      </c>
    </row>
    <row r="417" ht="18" customHeight="1">
      <c r="A417" s="68" t="n"/>
      <c r="B417" s="70" t="n"/>
      <c r="C417" s="128" t="n"/>
      <c r="D417" s="129" t="n"/>
      <c r="E417" s="71" t="n"/>
      <c r="F417" s="71" t="n"/>
      <c r="G417" s="71" t="n"/>
      <c r="H417" s="71" t="n"/>
      <c r="I417" s="28">
        <f>IF(OR(C417&lt;&gt;"",D417&lt;&gt;""),I416+IF(C417&lt;&gt;"",C417,0)-IF(D417&lt;&gt;"",D417,0),"")</f>
        <v/>
      </c>
    </row>
    <row r="418" ht="18" customHeight="1">
      <c r="A418" s="56" t="n"/>
      <c r="B418" s="58" t="n"/>
      <c r="C418" s="128" t="n"/>
      <c r="D418" s="129" t="n"/>
      <c r="E418" s="59" t="n"/>
      <c r="F418" s="59" t="n"/>
      <c r="G418" s="59" t="n"/>
      <c r="H418" s="59" t="n"/>
      <c r="I418" s="28">
        <f>IF(OR(C418&lt;&gt;"",D418&lt;&gt;""),I417+IF(C418&lt;&gt;"",C418,0)-IF(D418&lt;&gt;"",D418,0),"")</f>
        <v/>
      </c>
    </row>
    <row r="419" ht="18" customHeight="1">
      <c r="A419" s="68" t="n"/>
      <c r="B419" s="70" t="n"/>
      <c r="C419" s="128" t="n"/>
      <c r="D419" s="129" t="n"/>
      <c r="E419" s="71" t="n"/>
      <c r="F419" s="71" t="n"/>
      <c r="G419" s="71" t="n"/>
      <c r="H419" s="71" t="n"/>
      <c r="I419" s="28">
        <f>IF(OR(C419&lt;&gt;"",D419&lt;&gt;""),I418+IF(C419&lt;&gt;"",C419,0)-IF(D419&lt;&gt;"",D419,0),"")</f>
        <v/>
      </c>
    </row>
    <row r="420" ht="18" customHeight="1">
      <c r="A420" s="56" t="n"/>
      <c r="B420" s="58" t="n"/>
      <c r="C420" s="128" t="n"/>
      <c r="D420" s="129" t="n"/>
      <c r="E420" s="59" t="n"/>
      <c r="F420" s="59" t="n"/>
      <c r="G420" s="59" t="n"/>
      <c r="H420" s="59" t="n"/>
      <c r="I420" s="28">
        <f>IF(OR(C420&lt;&gt;"",D420&lt;&gt;""),I419+IF(C420&lt;&gt;"",C420,0)-IF(D420&lt;&gt;"",D420,0),"")</f>
        <v/>
      </c>
    </row>
    <row r="421" ht="18" customHeight="1">
      <c r="A421" s="68" t="n"/>
      <c r="B421" s="70" t="n"/>
      <c r="C421" s="128" t="n"/>
      <c r="D421" s="129" t="n"/>
      <c r="E421" s="71" t="n"/>
      <c r="F421" s="71" t="n"/>
      <c r="G421" s="71" t="n"/>
      <c r="H421" s="71" t="n"/>
      <c r="I421" s="28">
        <f>IF(OR(C421&lt;&gt;"",D421&lt;&gt;""),I420+IF(C421&lt;&gt;"",C421,0)-IF(D421&lt;&gt;"",D421,0),"")</f>
        <v/>
      </c>
    </row>
    <row r="422" ht="18" customHeight="1">
      <c r="A422" s="56" t="n"/>
      <c r="B422" s="58" t="n"/>
      <c r="C422" s="128" t="n"/>
      <c r="D422" s="129" t="n"/>
      <c r="E422" s="59" t="n"/>
      <c r="F422" s="59" t="n"/>
      <c r="G422" s="59" t="n"/>
      <c r="H422" s="59" t="n"/>
      <c r="I422" s="28">
        <f>IF(OR(C422&lt;&gt;"",D422&lt;&gt;""),I421+IF(C422&lt;&gt;"",C422,0)-IF(D422&lt;&gt;"",D422,0),"")</f>
        <v/>
      </c>
    </row>
    <row r="423" ht="18" customHeight="1">
      <c r="A423" s="68" t="n"/>
      <c r="B423" s="70" t="n"/>
      <c r="C423" s="128" t="n"/>
      <c r="D423" s="129" t="n"/>
      <c r="E423" s="71" t="n"/>
      <c r="F423" s="71" t="n"/>
      <c r="G423" s="71" t="n"/>
      <c r="H423" s="71" t="n"/>
      <c r="I423" s="28">
        <f>IF(OR(C423&lt;&gt;"",D423&lt;&gt;""),I422+IF(C423&lt;&gt;"",C423,0)-IF(D423&lt;&gt;"",D423,0),"")</f>
        <v/>
      </c>
    </row>
    <row r="424" ht="18" customHeight="1">
      <c r="A424" s="56" t="n"/>
      <c r="B424" s="58" t="n"/>
      <c r="C424" s="128" t="n"/>
      <c r="D424" s="129" t="n"/>
      <c r="E424" s="59" t="n"/>
      <c r="F424" s="59" t="n"/>
      <c r="G424" s="59" t="n"/>
      <c r="H424" s="59" t="n"/>
      <c r="I424" s="28">
        <f>IF(OR(C424&lt;&gt;"",D424&lt;&gt;""),I423+IF(C424&lt;&gt;"",C424,0)-IF(D424&lt;&gt;"",D424,0),"")</f>
        <v/>
      </c>
    </row>
    <row r="425" ht="18" customHeight="1">
      <c r="A425" s="68" t="n"/>
      <c r="B425" s="70" t="n"/>
      <c r="C425" s="128" t="n"/>
      <c r="D425" s="129" t="n"/>
      <c r="E425" s="71" t="n"/>
      <c r="F425" s="71" t="n"/>
      <c r="G425" s="71" t="n"/>
      <c r="H425" s="71" t="n"/>
      <c r="I425" s="28">
        <f>IF(OR(C425&lt;&gt;"",D425&lt;&gt;""),I424+IF(C425&lt;&gt;"",C425,0)-IF(D425&lt;&gt;"",D425,0),"")</f>
        <v/>
      </c>
    </row>
    <row r="426" ht="18" customHeight="1">
      <c r="A426" s="56" t="n"/>
      <c r="B426" s="58" t="n"/>
      <c r="C426" s="128" t="n"/>
      <c r="D426" s="129" t="n"/>
      <c r="E426" s="59" t="n"/>
      <c r="F426" s="59" t="n"/>
      <c r="G426" s="59" t="n"/>
      <c r="H426" s="59" t="n"/>
      <c r="I426" s="28">
        <f>IF(OR(C426&lt;&gt;"",D426&lt;&gt;""),I425+IF(C426&lt;&gt;"",C426,0)-IF(D426&lt;&gt;"",D426,0),"")</f>
        <v/>
      </c>
    </row>
    <row r="427" ht="18" customHeight="1">
      <c r="A427" s="68" t="n"/>
      <c r="B427" s="70" t="n"/>
      <c r="C427" s="128" t="n"/>
      <c r="D427" s="129" t="n"/>
      <c r="E427" s="71" t="n"/>
      <c r="F427" s="71" t="n"/>
      <c r="G427" s="71" t="n"/>
      <c r="H427" s="71" t="n"/>
      <c r="I427" s="28">
        <f>IF(OR(C427&lt;&gt;"",D427&lt;&gt;""),I426+IF(C427&lt;&gt;"",C427,0)-IF(D427&lt;&gt;"",D427,0),"")</f>
        <v/>
      </c>
    </row>
    <row r="428" ht="18" customHeight="1">
      <c r="A428" s="56" t="n"/>
      <c r="B428" s="58" t="n"/>
      <c r="C428" s="128" t="n"/>
      <c r="D428" s="129" t="n"/>
      <c r="E428" s="59" t="n"/>
      <c r="F428" s="59" t="n"/>
      <c r="G428" s="59" t="n"/>
      <c r="H428" s="59" t="n"/>
      <c r="I428" s="28">
        <f>IF(OR(C428&lt;&gt;"",D428&lt;&gt;""),I427+IF(C428&lt;&gt;"",C428,0)-IF(D428&lt;&gt;"",D428,0),"")</f>
        <v/>
      </c>
    </row>
    <row r="429" ht="18" customHeight="1">
      <c r="A429" s="68" t="n"/>
      <c r="B429" s="70" t="n"/>
      <c r="C429" s="128" t="n"/>
      <c r="D429" s="129" t="n"/>
      <c r="E429" s="71" t="n"/>
      <c r="F429" s="71" t="n"/>
      <c r="G429" s="71" t="n"/>
      <c r="H429" s="71" t="n"/>
      <c r="I429" s="28">
        <f>IF(OR(C429&lt;&gt;"",D429&lt;&gt;""),I428+IF(C429&lt;&gt;"",C429,0)-IF(D429&lt;&gt;"",D429,0),"")</f>
        <v/>
      </c>
    </row>
    <row r="430" ht="18" customHeight="1">
      <c r="A430" s="56" t="n"/>
      <c r="B430" s="58" t="n"/>
      <c r="C430" s="128" t="n"/>
      <c r="D430" s="129" t="n"/>
      <c r="E430" s="59" t="n"/>
      <c r="F430" s="59" t="n"/>
      <c r="G430" s="59" t="n"/>
      <c r="H430" s="59" t="n"/>
      <c r="I430" s="28">
        <f>IF(OR(C430&lt;&gt;"",D430&lt;&gt;""),I429+IF(C430&lt;&gt;"",C430,0)-IF(D430&lt;&gt;"",D430,0),"")</f>
        <v/>
      </c>
    </row>
    <row r="431" ht="18" customHeight="1">
      <c r="A431" s="68" t="n"/>
      <c r="B431" s="70" t="n"/>
      <c r="C431" s="128" t="n"/>
      <c r="D431" s="129" t="n"/>
      <c r="E431" s="71" t="n"/>
      <c r="F431" s="71" t="n"/>
      <c r="G431" s="71" t="n"/>
      <c r="H431" s="71" t="n"/>
      <c r="I431" s="28">
        <f>IF(OR(C431&lt;&gt;"",D431&lt;&gt;""),I430+IF(C431&lt;&gt;"",C431,0)-IF(D431&lt;&gt;"",D431,0),"")</f>
        <v/>
      </c>
    </row>
    <row r="432" ht="18" customHeight="1">
      <c r="A432" s="56" t="n"/>
      <c r="B432" s="58" t="n"/>
      <c r="C432" s="128" t="n"/>
      <c r="D432" s="129" t="n"/>
      <c r="E432" s="59" t="n"/>
      <c r="F432" s="59" t="n"/>
      <c r="G432" s="59" t="n"/>
      <c r="H432" s="59" t="n"/>
      <c r="I432" s="28">
        <f>IF(OR(C432&lt;&gt;"",D432&lt;&gt;""),I431+IF(C432&lt;&gt;"",C432,0)-IF(D432&lt;&gt;"",D432,0),"")</f>
        <v/>
      </c>
    </row>
    <row r="433" ht="18" customHeight="1">
      <c r="A433" s="68" t="n"/>
      <c r="B433" s="70" t="n"/>
      <c r="C433" s="128" t="n"/>
      <c r="D433" s="129" t="n"/>
      <c r="E433" s="71" t="n"/>
      <c r="F433" s="71" t="n"/>
      <c r="G433" s="71" t="n"/>
      <c r="H433" s="71" t="n"/>
      <c r="I433" s="28">
        <f>IF(OR(C433&lt;&gt;"",D433&lt;&gt;""),I432+IF(C433&lt;&gt;"",C433,0)-IF(D433&lt;&gt;"",D433,0),"")</f>
        <v/>
      </c>
    </row>
    <row r="434" ht="18" customHeight="1">
      <c r="A434" s="56" t="n"/>
      <c r="B434" s="58" t="n"/>
      <c r="C434" s="128" t="n"/>
      <c r="D434" s="129" t="n"/>
      <c r="E434" s="59" t="n"/>
      <c r="F434" s="59" t="n"/>
      <c r="G434" s="59" t="n"/>
      <c r="H434" s="59" t="n"/>
      <c r="I434" s="28">
        <f>IF(OR(C434&lt;&gt;"",D434&lt;&gt;""),I433+IF(C434&lt;&gt;"",C434,0)-IF(D434&lt;&gt;"",D434,0),"")</f>
        <v/>
      </c>
    </row>
    <row r="435" ht="18" customHeight="1">
      <c r="A435" s="68" t="n"/>
      <c r="B435" s="70" t="n"/>
      <c r="C435" s="128" t="n"/>
      <c r="D435" s="129" t="n"/>
      <c r="E435" s="71" t="n"/>
      <c r="F435" s="71" t="n"/>
      <c r="G435" s="71" t="n"/>
      <c r="H435" s="71" t="n"/>
      <c r="I435" s="28">
        <f>IF(OR(C435&lt;&gt;"",D435&lt;&gt;""),I434+IF(C435&lt;&gt;"",C435,0)-IF(D435&lt;&gt;"",D435,0),"")</f>
        <v/>
      </c>
    </row>
    <row r="436" ht="18" customHeight="1">
      <c r="A436" s="56" t="n"/>
      <c r="B436" s="58" t="n"/>
      <c r="C436" s="128" t="n"/>
      <c r="D436" s="129" t="n"/>
      <c r="E436" s="59" t="n"/>
      <c r="F436" s="59" t="n"/>
      <c r="G436" s="59" t="n"/>
      <c r="H436" s="59" t="n"/>
      <c r="I436" s="28">
        <f>IF(OR(C436&lt;&gt;"",D436&lt;&gt;""),I435+IF(C436&lt;&gt;"",C436,0)-IF(D436&lt;&gt;"",D436,0),"")</f>
        <v/>
      </c>
    </row>
    <row r="437" ht="18" customHeight="1">
      <c r="A437" s="68" t="n"/>
      <c r="B437" s="70" t="n"/>
      <c r="C437" s="128" t="n"/>
      <c r="D437" s="129" t="n"/>
      <c r="E437" s="71" t="n"/>
      <c r="F437" s="71" t="n"/>
      <c r="G437" s="71" t="n"/>
      <c r="H437" s="71" t="n"/>
      <c r="I437" s="28">
        <f>IF(OR(C437&lt;&gt;"",D437&lt;&gt;""),I436+IF(C437&lt;&gt;"",C437,0)-IF(D437&lt;&gt;"",D437,0),"")</f>
        <v/>
      </c>
    </row>
    <row r="438" ht="18" customHeight="1">
      <c r="A438" s="56" t="n"/>
      <c r="B438" s="58" t="n"/>
      <c r="C438" s="128" t="n"/>
      <c r="D438" s="129" t="n"/>
      <c r="E438" s="59" t="n"/>
      <c r="F438" s="59" t="n"/>
      <c r="G438" s="59" t="n"/>
      <c r="H438" s="59" t="n"/>
      <c r="I438" s="28">
        <f>IF(OR(C438&lt;&gt;"",D438&lt;&gt;""),I437+IF(C438&lt;&gt;"",C438,0)-IF(D438&lt;&gt;"",D438,0),"")</f>
        <v/>
      </c>
    </row>
    <row r="439" ht="18" customHeight="1">
      <c r="A439" s="68" t="n"/>
      <c r="B439" s="70" t="n"/>
      <c r="C439" s="128" t="n"/>
      <c r="D439" s="129" t="n"/>
      <c r="E439" s="71" t="n"/>
      <c r="F439" s="71" t="n"/>
      <c r="G439" s="71" t="n"/>
      <c r="H439" s="71" t="n"/>
      <c r="I439" s="28">
        <f>IF(OR(C439&lt;&gt;"",D439&lt;&gt;""),I438+IF(C439&lt;&gt;"",C439,0)-IF(D439&lt;&gt;"",D439,0),"")</f>
        <v/>
      </c>
    </row>
    <row r="440" ht="18" customHeight="1">
      <c r="A440" s="56" t="n"/>
      <c r="B440" s="58" t="n"/>
      <c r="C440" s="128" t="n"/>
      <c r="D440" s="129" t="n"/>
      <c r="E440" s="59" t="n"/>
      <c r="F440" s="59" t="n"/>
      <c r="G440" s="59" t="n"/>
      <c r="H440" s="59" t="n"/>
      <c r="I440" s="28">
        <f>IF(OR(C440&lt;&gt;"",D440&lt;&gt;""),I439+IF(C440&lt;&gt;"",C440,0)-IF(D440&lt;&gt;"",D440,0),"")</f>
        <v/>
      </c>
    </row>
    <row r="441" ht="18" customHeight="1">
      <c r="A441" s="68" t="n"/>
      <c r="B441" s="70" t="n"/>
      <c r="C441" s="128" t="n"/>
      <c r="D441" s="129" t="n"/>
      <c r="E441" s="71" t="n"/>
      <c r="F441" s="71" t="n"/>
      <c r="G441" s="71" t="n"/>
      <c r="H441" s="71" t="n"/>
      <c r="I441" s="28">
        <f>IF(OR(C441&lt;&gt;"",D441&lt;&gt;""),I440+IF(C441&lt;&gt;"",C441,0)-IF(D441&lt;&gt;"",D441,0),"")</f>
        <v/>
      </c>
    </row>
    <row r="442" ht="18" customHeight="1">
      <c r="A442" s="56" t="n"/>
      <c r="B442" s="58" t="n"/>
      <c r="C442" s="128" t="n"/>
      <c r="D442" s="129" t="n"/>
      <c r="E442" s="59" t="n"/>
      <c r="F442" s="59" t="n"/>
      <c r="G442" s="59" t="n"/>
      <c r="H442" s="59" t="n"/>
      <c r="I442" s="28">
        <f>IF(OR(C442&lt;&gt;"",D442&lt;&gt;""),I441+IF(C442&lt;&gt;"",C442,0)-IF(D442&lt;&gt;"",D442,0),"")</f>
        <v/>
      </c>
    </row>
    <row r="443" ht="18" customHeight="1">
      <c r="A443" s="68" t="n"/>
      <c r="B443" s="70" t="n"/>
      <c r="C443" s="128" t="n"/>
      <c r="D443" s="129" t="n"/>
      <c r="E443" s="71" t="n"/>
      <c r="F443" s="71" t="n"/>
      <c r="G443" s="71" t="n"/>
      <c r="H443" s="71" t="n"/>
      <c r="I443" s="28">
        <f>IF(OR(C443&lt;&gt;"",D443&lt;&gt;""),I442+IF(C443&lt;&gt;"",C443,0)-IF(D443&lt;&gt;"",D443,0),"")</f>
        <v/>
      </c>
    </row>
    <row r="444" ht="18" customHeight="1">
      <c r="A444" s="56" t="n"/>
      <c r="B444" s="58" t="n"/>
      <c r="C444" s="128" t="n"/>
      <c r="D444" s="129" t="n"/>
      <c r="E444" s="59" t="n"/>
      <c r="F444" s="59" t="n"/>
      <c r="G444" s="59" t="n"/>
      <c r="H444" s="59" t="n"/>
      <c r="I444" s="28">
        <f>IF(OR(C444&lt;&gt;"",D444&lt;&gt;""),I443+IF(C444&lt;&gt;"",C444,0)-IF(D444&lt;&gt;"",D444,0),"")</f>
        <v/>
      </c>
    </row>
    <row r="445" ht="18" customHeight="1">
      <c r="A445" s="68" t="n"/>
      <c r="B445" s="70" t="n"/>
      <c r="C445" s="128" t="n"/>
      <c r="D445" s="129" t="n"/>
      <c r="E445" s="71" t="n"/>
      <c r="F445" s="71" t="n"/>
      <c r="G445" s="71" t="n"/>
      <c r="H445" s="71" t="n"/>
      <c r="I445" s="28">
        <f>IF(OR(C445&lt;&gt;"",D445&lt;&gt;""),I444+IF(C445&lt;&gt;"",C445,0)-IF(D445&lt;&gt;"",D445,0),"")</f>
        <v/>
      </c>
    </row>
    <row r="446" ht="18" customHeight="1">
      <c r="A446" s="56" t="n"/>
      <c r="B446" s="58" t="n"/>
      <c r="C446" s="128" t="n"/>
      <c r="D446" s="129" t="n"/>
      <c r="E446" s="59" t="n"/>
      <c r="F446" s="59" t="n"/>
      <c r="G446" s="59" t="n"/>
      <c r="H446" s="59" t="n"/>
      <c r="I446" s="28">
        <f>IF(OR(C446&lt;&gt;"",D446&lt;&gt;""),I445+IF(C446&lt;&gt;"",C446,0)-IF(D446&lt;&gt;"",D446,0),"")</f>
        <v/>
      </c>
    </row>
    <row r="447" ht="18" customHeight="1">
      <c r="A447" s="68" t="n"/>
      <c r="B447" s="70" t="n"/>
      <c r="C447" s="128" t="n"/>
      <c r="D447" s="129" t="n"/>
      <c r="E447" s="71" t="n"/>
      <c r="F447" s="71" t="n"/>
      <c r="G447" s="71" t="n"/>
      <c r="H447" s="71" t="n"/>
      <c r="I447" s="28">
        <f>IF(OR(C447&lt;&gt;"",D447&lt;&gt;""),I446+IF(C447&lt;&gt;"",C447,0)-IF(D447&lt;&gt;"",D447,0),"")</f>
        <v/>
      </c>
    </row>
    <row r="448" ht="18" customHeight="1">
      <c r="A448" s="56" t="n"/>
      <c r="B448" s="58" t="n"/>
      <c r="C448" s="128" t="n"/>
      <c r="D448" s="129" t="n"/>
      <c r="E448" s="59" t="n"/>
      <c r="F448" s="59" t="n"/>
      <c r="G448" s="59" t="n"/>
      <c r="H448" s="59" t="n"/>
      <c r="I448" s="28">
        <f>IF(OR(C448&lt;&gt;"",D448&lt;&gt;""),I447+IF(C448&lt;&gt;"",C448,0)-IF(D448&lt;&gt;"",D448,0),"")</f>
        <v/>
      </c>
    </row>
    <row r="449" ht="18" customHeight="1">
      <c r="A449" s="68" t="n"/>
      <c r="B449" s="70" t="n"/>
      <c r="C449" s="128" t="n"/>
      <c r="D449" s="129" t="n"/>
      <c r="E449" s="71" t="n"/>
      <c r="F449" s="71" t="n"/>
      <c r="G449" s="71" t="n"/>
      <c r="H449" s="71" t="n"/>
      <c r="I449" s="28">
        <f>IF(OR(C449&lt;&gt;"",D449&lt;&gt;""),I448+IF(C449&lt;&gt;"",C449,0)-IF(D449&lt;&gt;"",D449,0),"")</f>
        <v/>
      </c>
    </row>
    <row r="450" ht="18" customHeight="1">
      <c r="A450" s="56" t="n"/>
      <c r="B450" s="58" t="n"/>
      <c r="C450" s="128" t="n"/>
      <c r="D450" s="129" t="n"/>
      <c r="E450" s="59" t="n"/>
      <c r="F450" s="59" t="n"/>
      <c r="G450" s="59" t="n"/>
      <c r="H450" s="59" t="n"/>
      <c r="I450" s="28">
        <f>IF(OR(C450&lt;&gt;"",D450&lt;&gt;""),I449+IF(C450&lt;&gt;"",C450,0)-IF(D450&lt;&gt;"",D450,0),"")</f>
        <v/>
      </c>
    </row>
    <row r="451" ht="18" customHeight="1">
      <c r="A451" s="68" t="n"/>
      <c r="B451" s="70" t="n"/>
      <c r="C451" s="128" t="n"/>
      <c r="D451" s="129" t="n"/>
      <c r="E451" s="71" t="n"/>
      <c r="F451" s="71" t="n"/>
      <c r="G451" s="71" t="n"/>
      <c r="H451" s="71" t="n"/>
      <c r="I451" s="28">
        <f>IF(OR(C451&lt;&gt;"",D451&lt;&gt;""),I450+IF(C451&lt;&gt;"",C451,0)-IF(D451&lt;&gt;"",D451,0),"")</f>
        <v/>
      </c>
    </row>
    <row r="452" ht="18" customHeight="1">
      <c r="A452" s="56" t="n"/>
      <c r="B452" s="58" t="n"/>
      <c r="C452" s="128" t="n"/>
      <c r="D452" s="129" t="n"/>
      <c r="E452" s="59" t="n"/>
      <c r="F452" s="59" t="n"/>
      <c r="G452" s="59" t="n"/>
      <c r="H452" s="59" t="n"/>
      <c r="I452" s="28">
        <f>IF(OR(C452&lt;&gt;"",D452&lt;&gt;""),I451+IF(C452&lt;&gt;"",C452,0)-IF(D452&lt;&gt;"",D452,0),"")</f>
        <v/>
      </c>
    </row>
    <row r="453" ht="18" customHeight="1">
      <c r="A453" s="68" t="n"/>
      <c r="B453" s="70" t="n"/>
      <c r="C453" s="128" t="n"/>
      <c r="D453" s="129" t="n"/>
      <c r="E453" s="71" t="n"/>
      <c r="F453" s="71" t="n"/>
      <c r="G453" s="71" t="n"/>
      <c r="H453" s="71" t="n"/>
      <c r="I453" s="28">
        <f>IF(OR(C453&lt;&gt;"",D453&lt;&gt;""),I452+IF(C453&lt;&gt;"",C453,0)-IF(D453&lt;&gt;"",D453,0),"")</f>
        <v/>
      </c>
    </row>
    <row r="454" ht="18" customHeight="1">
      <c r="A454" s="56" t="n"/>
      <c r="B454" s="58" t="n"/>
      <c r="C454" s="128" t="n"/>
      <c r="D454" s="129" t="n"/>
      <c r="E454" s="59" t="n"/>
      <c r="F454" s="59" t="n"/>
      <c r="G454" s="59" t="n"/>
      <c r="H454" s="59" t="n"/>
      <c r="I454" s="28">
        <f>IF(OR(C454&lt;&gt;"",D454&lt;&gt;""),I453+IF(C454&lt;&gt;"",C454,0)-IF(D454&lt;&gt;"",D454,0),"")</f>
        <v/>
      </c>
    </row>
    <row r="455" ht="18" customHeight="1">
      <c r="A455" s="68" t="n"/>
      <c r="B455" s="70" t="n"/>
      <c r="C455" s="128" t="n"/>
      <c r="D455" s="129" t="n"/>
      <c r="E455" s="71" t="n"/>
      <c r="F455" s="71" t="n"/>
      <c r="G455" s="71" t="n"/>
      <c r="H455" s="71" t="n"/>
      <c r="I455" s="28">
        <f>IF(OR(C455&lt;&gt;"",D455&lt;&gt;""),I454+IF(C455&lt;&gt;"",C455,0)-IF(D455&lt;&gt;"",D455,0),"")</f>
        <v/>
      </c>
    </row>
    <row r="456" ht="18" customHeight="1">
      <c r="A456" s="56" t="n"/>
      <c r="B456" s="58" t="n"/>
      <c r="C456" s="128" t="n"/>
      <c r="D456" s="129" t="n"/>
      <c r="E456" s="59" t="n"/>
      <c r="F456" s="59" t="n"/>
      <c r="G456" s="59" t="n"/>
      <c r="H456" s="59" t="n"/>
      <c r="I456" s="28">
        <f>IF(OR(C456&lt;&gt;"",D456&lt;&gt;""),I455+IF(C456&lt;&gt;"",C456,0)-IF(D456&lt;&gt;"",D456,0),"")</f>
        <v/>
      </c>
    </row>
    <row r="457" ht="18" customHeight="1">
      <c r="A457" s="68" t="n"/>
      <c r="B457" s="70" t="n"/>
      <c r="C457" s="128" t="n"/>
      <c r="D457" s="129" t="n"/>
      <c r="E457" s="71" t="n"/>
      <c r="F457" s="71" t="n"/>
      <c r="G457" s="71" t="n"/>
      <c r="H457" s="71" t="n"/>
      <c r="I457" s="28">
        <f>IF(OR(C457&lt;&gt;"",D457&lt;&gt;""),I456+IF(C457&lt;&gt;"",C457,0)-IF(D457&lt;&gt;"",D457,0),"")</f>
        <v/>
      </c>
    </row>
    <row r="458" ht="18" customHeight="1">
      <c r="A458" s="56" t="n"/>
      <c r="B458" s="58" t="n"/>
      <c r="C458" s="128" t="n"/>
      <c r="D458" s="129" t="n"/>
      <c r="E458" s="59" t="n"/>
      <c r="F458" s="59" t="n"/>
      <c r="G458" s="59" t="n"/>
      <c r="H458" s="59" t="n"/>
      <c r="I458" s="28">
        <f>IF(OR(C458&lt;&gt;"",D458&lt;&gt;""),I457+IF(C458&lt;&gt;"",C458,0)-IF(D458&lt;&gt;"",D458,0),"")</f>
        <v/>
      </c>
    </row>
    <row r="459" ht="18" customHeight="1">
      <c r="A459" s="68" t="n"/>
      <c r="B459" s="70" t="n"/>
      <c r="C459" s="128" t="n"/>
      <c r="D459" s="129" t="n"/>
      <c r="E459" s="71" t="n"/>
      <c r="F459" s="71" t="n"/>
      <c r="G459" s="71" t="n"/>
      <c r="H459" s="71" t="n"/>
      <c r="I459" s="28">
        <f>IF(OR(C459&lt;&gt;"",D459&lt;&gt;""),I458+IF(C459&lt;&gt;"",C459,0)-IF(D459&lt;&gt;"",D459,0),"")</f>
        <v/>
      </c>
    </row>
    <row r="460" ht="18" customHeight="1">
      <c r="A460" s="56" t="n"/>
      <c r="B460" s="58" t="n"/>
      <c r="C460" s="128" t="n"/>
      <c r="D460" s="129" t="n"/>
      <c r="E460" s="59" t="n"/>
      <c r="F460" s="59" t="n"/>
      <c r="G460" s="59" t="n"/>
      <c r="H460" s="59" t="n"/>
      <c r="I460" s="28">
        <f>IF(OR(C460&lt;&gt;"",D460&lt;&gt;""),I459+IF(C460&lt;&gt;"",C460,0)-IF(D460&lt;&gt;"",D460,0),"")</f>
        <v/>
      </c>
    </row>
    <row r="461" ht="18" customHeight="1">
      <c r="A461" s="68" t="n"/>
      <c r="B461" s="70" t="n"/>
      <c r="C461" s="128" t="n"/>
      <c r="D461" s="129" t="n"/>
      <c r="E461" s="71" t="n"/>
      <c r="F461" s="71" t="n"/>
      <c r="G461" s="71" t="n"/>
      <c r="H461" s="71" t="n"/>
      <c r="I461" s="28">
        <f>IF(OR(C461&lt;&gt;"",D461&lt;&gt;""),I460+IF(C461&lt;&gt;"",C461,0)-IF(D461&lt;&gt;"",D461,0),"")</f>
        <v/>
      </c>
    </row>
    <row r="462" ht="18" customHeight="1">
      <c r="A462" s="56" t="n"/>
      <c r="B462" s="58" t="n"/>
      <c r="C462" s="128" t="n"/>
      <c r="D462" s="129" t="n"/>
      <c r="E462" s="59" t="n"/>
      <c r="F462" s="59" t="n"/>
      <c r="G462" s="59" t="n"/>
      <c r="H462" s="59" t="n"/>
      <c r="I462" s="28">
        <f>IF(OR(C462&lt;&gt;"",D462&lt;&gt;""),I461+IF(C462&lt;&gt;"",C462,0)-IF(D462&lt;&gt;"",D462,0),"")</f>
        <v/>
      </c>
    </row>
    <row r="463" ht="18" customHeight="1">
      <c r="A463" s="68" t="n"/>
      <c r="B463" s="70" t="n"/>
      <c r="C463" s="128" t="n"/>
      <c r="D463" s="129" t="n"/>
      <c r="E463" s="71" t="n"/>
      <c r="F463" s="71" t="n"/>
      <c r="G463" s="71" t="n"/>
      <c r="H463" s="71" t="n"/>
      <c r="I463" s="28">
        <f>IF(OR(C463&lt;&gt;"",D463&lt;&gt;""),I462+IF(C463&lt;&gt;"",C463,0)-IF(D463&lt;&gt;"",D463,0),"")</f>
        <v/>
      </c>
    </row>
    <row r="464" ht="18" customHeight="1">
      <c r="A464" s="56" t="n"/>
      <c r="B464" s="58" t="n"/>
      <c r="C464" s="128" t="n"/>
      <c r="D464" s="129" t="n"/>
      <c r="E464" s="59" t="n"/>
      <c r="F464" s="59" t="n"/>
      <c r="G464" s="59" t="n"/>
      <c r="H464" s="59" t="n"/>
      <c r="I464" s="28">
        <f>IF(OR(C464&lt;&gt;"",D464&lt;&gt;""),I463+IF(C464&lt;&gt;"",C464,0)-IF(D464&lt;&gt;"",D464,0),"")</f>
        <v/>
      </c>
    </row>
    <row r="465" ht="18" customHeight="1">
      <c r="A465" s="68" t="n"/>
      <c r="B465" s="70" t="n"/>
      <c r="C465" s="128" t="n"/>
      <c r="D465" s="129" t="n"/>
      <c r="E465" s="71" t="n"/>
      <c r="F465" s="71" t="n"/>
      <c r="G465" s="71" t="n"/>
      <c r="H465" s="71" t="n"/>
      <c r="I465" s="28">
        <f>IF(OR(C465&lt;&gt;"",D465&lt;&gt;""),I464+IF(C465&lt;&gt;"",C465,0)-IF(D465&lt;&gt;"",D465,0),"")</f>
        <v/>
      </c>
    </row>
    <row r="466" ht="18" customHeight="1">
      <c r="A466" s="56" t="n"/>
      <c r="B466" s="58" t="n"/>
      <c r="C466" s="128" t="n"/>
      <c r="D466" s="129" t="n"/>
      <c r="E466" s="59" t="n"/>
      <c r="F466" s="59" t="n"/>
      <c r="G466" s="59" t="n"/>
      <c r="H466" s="59" t="n"/>
      <c r="I466" s="28">
        <f>IF(OR(C466&lt;&gt;"",D466&lt;&gt;""),I465+IF(C466&lt;&gt;"",C466,0)-IF(D466&lt;&gt;"",D466,0),"")</f>
        <v/>
      </c>
    </row>
    <row r="467" ht="18" customHeight="1">
      <c r="A467" s="68" t="n"/>
      <c r="B467" s="70" t="n"/>
      <c r="C467" s="128" t="n"/>
      <c r="D467" s="129" t="n"/>
      <c r="E467" s="71" t="n"/>
      <c r="F467" s="71" t="n"/>
      <c r="G467" s="71" t="n"/>
      <c r="H467" s="71" t="n"/>
      <c r="I467" s="28">
        <f>IF(OR(C467&lt;&gt;"",D467&lt;&gt;""),I466+IF(C467&lt;&gt;"",C467,0)-IF(D467&lt;&gt;"",D467,0),"")</f>
        <v/>
      </c>
    </row>
    <row r="468" ht="18" customHeight="1">
      <c r="A468" s="56" t="n"/>
      <c r="B468" s="58" t="n"/>
      <c r="C468" s="128" t="n"/>
      <c r="D468" s="129" t="n"/>
      <c r="E468" s="59" t="n"/>
      <c r="F468" s="59" t="n"/>
      <c r="G468" s="59" t="n"/>
      <c r="H468" s="59" t="n"/>
      <c r="I468" s="28">
        <f>IF(OR(C468&lt;&gt;"",D468&lt;&gt;""),I467+IF(C468&lt;&gt;"",C468,0)-IF(D468&lt;&gt;"",D468,0),"")</f>
        <v/>
      </c>
    </row>
    <row r="469" ht="18" customHeight="1">
      <c r="A469" s="68" t="n"/>
      <c r="B469" s="70" t="n"/>
      <c r="C469" s="128" t="n"/>
      <c r="D469" s="129" t="n"/>
      <c r="E469" s="71" t="n"/>
      <c r="F469" s="71" t="n"/>
      <c r="G469" s="71" t="n"/>
      <c r="H469" s="71" t="n"/>
      <c r="I469" s="28">
        <f>IF(OR(C469&lt;&gt;"",D469&lt;&gt;""),I468+IF(C469&lt;&gt;"",C469,0)-IF(D469&lt;&gt;"",D469,0),"")</f>
        <v/>
      </c>
    </row>
    <row r="470" ht="18" customHeight="1">
      <c r="A470" s="56" t="n"/>
      <c r="B470" s="58" t="n"/>
      <c r="C470" s="128" t="n"/>
      <c r="D470" s="129" t="n"/>
      <c r="E470" s="59" t="n"/>
      <c r="F470" s="59" t="n"/>
      <c r="G470" s="59" t="n"/>
      <c r="H470" s="59" t="n"/>
      <c r="I470" s="28">
        <f>IF(OR(C470&lt;&gt;"",D470&lt;&gt;""),I469+IF(C470&lt;&gt;"",C470,0)-IF(D470&lt;&gt;"",D470,0),"")</f>
        <v/>
      </c>
    </row>
    <row r="471" ht="18" customHeight="1">
      <c r="A471" s="68" t="n"/>
      <c r="B471" s="70" t="n"/>
      <c r="C471" s="128" t="n"/>
      <c r="D471" s="129" t="n"/>
      <c r="E471" s="71" t="n"/>
      <c r="F471" s="71" t="n"/>
      <c r="G471" s="71" t="n"/>
      <c r="H471" s="71" t="n"/>
      <c r="I471" s="28">
        <f>IF(OR(C471&lt;&gt;"",D471&lt;&gt;""),I470+IF(C471&lt;&gt;"",C471,0)-IF(D471&lt;&gt;"",D471,0),"")</f>
        <v/>
      </c>
    </row>
    <row r="472" ht="18" customHeight="1">
      <c r="A472" s="56" t="n"/>
      <c r="B472" s="58" t="n"/>
      <c r="C472" s="128" t="n"/>
      <c r="D472" s="129" t="n"/>
      <c r="E472" s="59" t="n"/>
      <c r="F472" s="59" t="n"/>
      <c r="G472" s="59" t="n"/>
      <c r="H472" s="59" t="n"/>
      <c r="I472" s="28">
        <f>IF(OR(C472&lt;&gt;"",D472&lt;&gt;""),I471+IF(C472&lt;&gt;"",C472,0)-IF(D472&lt;&gt;"",D472,0),"")</f>
        <v/>
      </c>
    </row>
    <row r="473" ht="18" customHeight="1">
      <c r="A473" s="68" t="n"/>
      <c r="B473" s="70" t="n"/>
      <c r="C473" s="128" t="n"/>
      <c r="D473" s="129" t="n"/>
      <c r="E473" s="71" t="n"/>
      <c r="F473" s="71" t="n"/>
      <c r="G473" s="71" t="n"/>
      <c r="H473" s="71" t="n"/>
      <c r="I473" s="28">
        <f>IF(OR(C473&lt;&gt;"",D473&lt;&gt;""),I472+IF(C473&lt;&gt;"",C473,0)-IF(D473&lt;&gt;"",D473,0),"")</f>
        <v/>
      </c>
    </row>
    <row r="474" ht="18" customHeight="1">
      <c r="A474" s="56" t="n"/>
      <c r="B474" s="58" t="n"/>
      <c r="C474" s="128" t="n"/>
      <c r="D474" s="129" t="n"/>
      <c r="E474" s="59" t="n"/>
      <c r="F474" s="59" t="n"/>
      <c r="G474" s="59" t="n"/>
      <c r="H474" s="59" t="n"/>
      <c r="I474" s="28">
        <f>IF(OR(C474&lt;&gt;"",D474&lt;&gt;""),I473+IF(C474&lt;&gt;"",C474,0)-IF(D474&lt;&gt;"",D474,0),"")</f>
        <v/>
      </c>
    </row>
    <row r="475" ht="18" customHeight="1">
      <c r="A475" s="68" t="n"/>
      <c r="B475" s="70" t="n"/>
      <c r="C475" s="128" t="n"/>
      <c r="D475" s="129" t="n"/>
      <c r="E475" s="71" t="n"/>
      <c r="F475" s="71" t="n"/>
      <c r="G475" s="71" t="n"/>
      <c r="H475" s="71" t="n"/>
      <c r="I475" s="28">
        <f>IF(OR(C475&lt;&gt;"",D475&lt;&gt;""),I474+IF(C475&lt;&gt;"",C475,0)-IF(D475&lt;&gt;"",D475,0),"")</f>
        <v/>
      </c>
    </row>
    <row r="476" ht="18" customHeight="1">
      <c r="A476" s="56" t="n"/>
      <c r="B476" s="58" t="n"/>
      <c r="C476" s="128" t="n"/>
      <c r="D476" s="129" t="n"/>
      <c r="E476" s="59" t="n"/>
      <c r="F476" s="59" t="n"/>
      <c r="G476" s="59" t="n"/>
      <c r="H476" s="59" t="n"/>
      <c r="I476" s="28">
        <f>IF(OR(C476&lt;&gt;"",D476&lt;&gt;""),I475+IF(C476&lt;&gt;"",C476,0)-IF(D476&lt;&gt;"",D476,0),"")</f>
        <v/>
      </c>
    </row>
    <row r="477" ht="18" customHeight="1">
      <c r="A477" s="68" t="n"/>
      <c r="B477" s="70" t="n"/>
      <c r="C477" s="128" t="n"/>
      <c r="D477" s="129" t="n"/>
      <c r="E477" s="71" t="n"/>
      <c r="F477" s="71" t="n"/>
      <c r="G477" s="71" t="n"/>
      <c r="H477" s="71" t="n"/>
      <c r="I477" s="28">
        <f>IF(OR(C477&lt;&gt;"",D477&lt;&gt;""),I476+IF(C477&lt;&gt;"",C477,0)-IF(D477&lt;&gt;"",D477,0),"")</f>
        <v/>
      </c>
    </row>
    <row r="478" ht="18" customHeight="1">
      <c r="A478" s="56" t="n"/>
      <c r="B478" s="58" t="n"/>
      <c r="C478" s="128" t="n"/>
      <c r="D478" s="129" t="n"/>
      <c r="E478" s="59" t="n"/>
      <c r="F478" s="59" t="n"/>
      <c r="G478" s="59" t="n"/>
      <c r="H478" s="59" t="n"/>
      <c r="I478" s="28">
        <f>IF(OR(C478&lt;&gt;"",D478&lt;&gt;""),I477+IF(C478&lt;&gt;"",C478,0)-IF(D478&lt;&gt;"",D478,0),"")</f>
        <v/>
      </c>
    </row>
    <row r="479" ht="18" customHeight="1">
      <c r="A479" s="68" t="n"/>
      <c r="B479" s="70" t="n"/>
      <c r="C479" s="128" t="n"/>
      <c r="D479" s="129" t="n"/>
      <c r="E479" s="71" t="n"/>
      <c r="F479" s="71" t="n"/>
      <c r="G479" s="71" t="n"/>
      <c r="H479" s="71" t="n"/>
      <c r="I479" s="28">
        <f>IF(OR(C479&lt;&gt;"",D479&lt;&gt;""),I478+IF(C479&lt;&gt;"",C479,0)-IF(D479&lt;&gt;"",D479,0),"")</f>
        <v/>
      </c>
    </row>
    <row r="480" ht="18" customHeight="1">
      <c r="A480" s="56" t="n"/>
      <c r="B480" s="58" t="n"/>
      <c r="C480" s="128" t="n"/>
      <c r="D480" s="129" t="n"/>
      <c r="E480" s="59" t="n"/>
      <c r="F480" s="59" t="n"/>
      <c r="G480" s="59" t="n"/>
      <c r="H480" s="59" t="n"/>
      <c r="I480" s="28">
        <f>IF(OR(C480&lt;&gt;"",D480&lt;&gt;""),I479+IF(C480&lt;&gt;"",C480,0)-IF(D480&lt;&gt;"",D480,0),"")</f>
        <v/>
      </c>
    </row>
    <row r="481" ht="18" customHeight="1">
      <c r="A481" s="68" t="n"/>
      <c r="B481" s="70" t="n"/>
      <c r="C481" s="128" t="n"/>
      <c r="D481" s="129" t="n"/>
      <c r="E481" s="71" t="n"/>
      <c r="F481" s="71" t="n"/>
      <c r="G481" s="71" t="n"/>
      <c r="H481" s="71" t="n"/>
      <c r="I481" s="28">
        <f>IF(OR(C481&lt;&gt;"",D481&lt;&gt;""),I480+IF(C481&lt;&gt;"",C481,0)-IF(D481&lt;&gt;"",D481,0),"")</f>
        <v/>
      </c>
    </row>
    <row r="482" ht="18" customHeight="1">
      <c r="A482" s="56" t="n"/>
      <c r="B482" s="58" t="n"/>
      <c r="C482" s="128" t="n"/>
      <c r="D482" s="129" t="n"/>
      <c r="E482" s="59" t="n"/>
      <c r="F482" s="59" t="n"/>
      <c r="G482" s="59" t="n"/>
      <c r="H482" s="59" t="n"/>
      <c r="I482" s="28">
        <f>IF(OR(C482&lt;&gt;"",D482&lt;&gt;""),I481+IF(C482&lt;&gt;"",C482,0)-IF(D482&lt;&gt;"",D482,0),"")</f>
        <v/>
      </c>
    </row>
    <row r="483" ht="18" customHeight="1">
      <c r="A483" s="68" t="n"/>
      <c r="B483" s="70" t="n"/>
      <c r="C483" s="128" t="n"/>
      <c r="D483" s="129" t="n"/>
      <c r="E483" s="71" t="n"/>
      <c r="F483" s="71" t="n"/>
      <c r="G483" s="71" t="n"/>
      <c r="H483" s="71" t="n"/>
      <c r="I483" s="28">
        <f>IF(OR(C483&lt;&gt;"",D483&lt;&gt;""),I482+IF(C483&lt;&gt;"",C483,0)-IF(D483&lt;&gt;"",D483,0),"")</f>
        <v/>
      </c>
    </row>
    <row r="484" ht="18" customHeight="1">
      <c r="A484" s="56" t="n"/>
      <c r="B484" s="58" t="n"/>
      <c r="C484" s="128" t="n"/>
      <c r="D484" s="129" t="n"/>
      <c r="E484" s="59" t="n"/>
      <c r="F484" s="59" t="n"/>
      <c r="G484" s="59" t="n"/>
      <c r="H484" s="59" t="n"/>
      <c r="I484" s="28">
        <f>IF(OR(C484&lt;&gt;"",D484&lt;&gt;""),I483+IF(C484&lt;&gt;"",C484,0)-IF(D484&lt;&gt;"",D484,0),"")</f>
        <v/>
      </c>
    </row>
    <row r="485" ht="18" customHeight="1">
      <c r="A485" s="68" t="n"/>
      <c r="B485" s="70" t="n"/>
      <c r="C485" s="128" t="n"/>
      <c r="D485" s="129" t="n"/>
      <c r="E485" s="71" t="n"/>
      <c r="F485" s="71" t="n"/>
      <c r="G485" s="71" t="n"/>
      <c r="H485" s="71" t="n"/>
      <c r="I485" s="28">
        <f>IF(OR(C485&lt;&gt;"",D485&lt;&gt;""),I484+IF(C485&lt;&gt;"",C485,0)-IF(D485&lt;&gt;"",D485,0),"")</f>
        <v/>
      </c>
    </row>
    <row r="486" ht="18" customHeight="1">
      <c r="A486" s="56" t="n"/>
      <c r="B486" s="58" t="n"/>
      <c r="C486" s="128" t="n"/>
      <c r="D486" s="129" t="n"/>
      <c r="E486" s="59" t="n"/>
      <c r="F486" s="59" t="n"/>
      <c r="G486" s="59" t="n"/>
      <c r="H486" s="59" t="n"/>
      <c r="I486" s="28">
        <f>IF(OR(C486&lt;&gt;"",D486&lt;&gt;""),I485+IF(C486&lt;&gt;"",C486,0)-IF(D486&lt;&gt;"",D486,0),"")</f>
        <v/>
      </c>
    </row>
    <row r="487" ht="18" customHeight="1">
      <c r="A487" s="68" t="n"/>
      <c r="B487" s="70" t="n"/>
      <c r="C487" s="128" t="n"/>
      <c r="D487" s="129" t="n"/>
      <c r="E487" s="71" t="n"/>
      <c r="F487" s="71" t="n"/>
      <c r="G487" s="71" t="n"/>
      <c r="H487" s="71" t="n"/>
      <c r="I487" s="28">
        <f>IF(OR(C487&lt;&gt;"",D487&lt;&gt;""),I486+IF(C487&lt;&gt;"",C487,0)-IF(D487&lt;&gt;"",D487,0),"")</f>
        <v/>
      </c>
    </row>
    <row r="488" ht="18" customHeight="1">
      <c r="A488" s="56" t="n"/>
      <c r="B488" s="58" t="n"/>
      <c r="C488" s="128" t="n"/>
      <c r="D488" s="129" t="n"/>
      <c r="E488" s="59" t="n"/>
      <c r="F488" s="59" t="n"/>
      <c r="G488" s="59" t="n"/>
      <c r="H488" s="59" t="n"/>
      <c r="I488" s="28">
        <f>IF(OR(C488&lt;&gt;"",D488&lt;&gt;""),I487+IF(C488&lt;&gt;"",C488,0)-IF(D488&lt;&gt;"",D488,0),"")</f>
        <v/>
      </c>
    </row>
    <row r="489" ht="18" customHeight="1">
      <c r="A489" s="68" t="n"/>
      <c r="B489" s="70" t="n"/>
      <c r="C489" s="128" t="n"/>
      <c r="D489" s="129" t="n"/>
      <c r="E489" s="71" t="n"/>
      <c r="F489" s="71" t="n"/>
      <c r="G489" s="71" t="n"/>
      <c r="H489" s="71" t="n"/>
      <c r="I489" s="28">
        <f>IF(OR(C489&lt;&gt;"",D489&lt;&gt;""),I488+IF(C489&lt;&gt;"",C489,0)-IF(D489&lt;&gt;"",D489,0),"")</f>
        <v/>
      </c>
    </row>
    <row r="490" ht="18" customHeight="1">
      <c r="A490" s="56" t="n"/>
      <c r="B490" s="58" t="n"/>
      <c r="C490" s="128" t="n"/>
      <c r="D490" s="129" t="n"/>
      <c r="E490" s="59" t="n"/>
      <c r="F490" s="59" t="n"/>
      <c r="G490" s="59" t="n"/>
      <c r="H490" s="59" t="n"/>
      <c r="I490" s="28">
        <f>IF(OR(C490&lt;&gt;"",D490&lt;&gt;""),I489+IF(C490&lt;&gt;"",C490,0)-IF(D490&lt;&gt;"",D490,0),"")</f>
        <v/>
      </c>
    </row>
    <row r="491" ht="18" customHeight="1">
      <c r="A491" s="68" t="n"/>
      <c r="B491" s="70" t="n"/>
      <c r="C491" s="128" t="n"/>
      <c r="D491" s="129" t="n"/>
      <c r="E491" s="71" t="n"/>
      <c r="F491" s="71" t="n"/>
      <c r="G491" s="71" t="n"/>
      <c r="H491" s="71" t="n"/>
      <c r="I491" s="28">
        <f>IF(OR(C491&lt;&gt;"",D491&lt;&gt;""),I490+IF(C491&lt;&gt;"",C491,0)-IF(D491&lt;&gt;"",D491,0),"")</f>
        <v/>
      </c>
    </row>
    <row r="492" ht="18" customHeight="1">
      <c r="A492" s="56" t="n"/>
      <c r="B492" s="58" t="n"/>
      <c r="C492" s="128" t="n"/>
      <c r="D492" s="129" t="n"/>
      <c r="E492" s="59" t="n"/>
      <c r="F492" s="59" t="n"/>
      <c r="G492" s="59" t="n"/>
      <c r="H492" s="59" t="n"/>
      <c r="I492" s="28">
        <f>IF(OR(C492&lt;&gt;"",D492&lt;&gt;""),I491+IF(C492&lt;&gt;"",C492,0)-IF(D492&lt;&gt;"",D492,0),"")</f>
        <v/>
      </c>
    </row>
    <row r="493" ht="18" customHeight="1">
      <c r="A493" s="68" t="n"/>
      <c r="B493" s="70" t="n"/>
      <c r="C493" s="128" t="n"/>
      <c r="D493" s="129" t="n"/>
      <c r="E493" s="71" t="n"/>
      <c r="F493" s="71" t="n"/>
      <c r="G493" s="71" t="n"/>
      <c r="H493" s="71" t="n"/>
      <c r="I493" s="28">
        <f>IF(OR(C493&lt;&gt;"",D493&lt;&gt;""),I492+IF(C493&lt;&gt;"",C493,0)-IF(D493&lt;&gt;"",D493,0),"")</f>
        <v/>
      </c>
    </row>
    <row r="494" ht="18" customHeight="1">
      <c r="A494" s="56" t="n"/>
      <c r="B494" s="58" t="n"/>
      <c r="C494" s="128" t="n"/>
      <c r="D494" s="129" t="n"/>
      <c r="E494" s="59" t="n"/>
      <c r="F494" s="59" t="n"/>
      <c r="G494" s="59" t="n"/>
      <c r="H494" s="59" t="n"/>
      <c r="I494" s="28">
        <f>IF(OR(C494&lt;&gt;"",D494&lt;&gt;""),I493+IF(C494&lt;&gt;"",C494,0)-IF(D494&lt;&gt;"",D494,0),"")</f>
        <v/>
      </c>
    </row>
    <row r="495" ht="18" customHeight="1">
      <c r="A495" s="68" t="n"/>
      <c r="B495" s="70" t="n"/>
      <c r="C495" s="128" t="n"/>
      <c r="D495" s="129" t="n"/>
      <c r="E495" s="71" t="n"/>
      <c r="F495" s="71" t="n"/>
      <c r="G495" s="71" t="n"/>
      <c r="H495" s="71" t="n"/>
      <c r="I495" s="28">
        <f>IF(OR(C495&lt;&gt;"",D495&lt;&gt;""),I494+IF(C495&lt;&gt;"",C495,0)-IF(D495&lt;&gt;"",D495,0),"")</f>
        <v/>
      </c>
    </row>
    <row r="496" ht="18" customHeight="1">
      <c r="A496" s="56" t="n"/>
      <c r="B496" s="58" t="n"/>
      <c r="C496" s="128" t="n"/>
      <c r="D496" s="129" t="n"/>
      <c r="E496" s="59" t="n"/>
      <c r="F496" s="59" t="n"/>
      <c r="G496" s="59" t="n"/>
      <c r="H496" s="59" t="n"/>
      <c r="I496" s="28">
        <f>IF(OR(C496&lt;&gt;"",D496&lt;&gt;""),I495+IF(C496&lt;&gt;"",C496,0)-IF(D496&lt;&gt;"",D496,0),"")</f>
        <v/>
      </c>
    </row>
    <row r="497" ht="18" customHeight="1">
      <c r="A497" s="68" t="n"/>
      <c r="B497" s="70" t="n"/>
      <c r="C497" s="128" t="n"/>
      <c r="D497" s="129" t="n"/>
      <c r="E497" s="71" t="n"/>
      <c r="F497" s="71" t="n"/>
      <c r="G497" s="71" t="n"/>
      <c r="H497" s="71" t="n"/>
      <c r="I497" s="28">
        <f>IF(OR(C497&lt;&gt;"",D497&lt;&gt;""),I496+IF(C497&lt;&gt;"",C497,0)-IF(D497&lt;&gt;"",D497,0),"")</f>
        <v/>
      </c>
    </row>
    <row r="498" ht="18" customHeight="1">
      <c r="A498" s="56" t="n"/>
      <c r="B498" s="58" t="n"/>
      <c r="C498" s="128" t="n"/>
      <c r="D498" s="129" t="n"/>
      <c r="E498" s="59" t="n"/>
      <c r="F498" s="59" t="n"/>
      <c r="G498" s="59" t="n"/>
      <c r="H498" s="59" t="n"/>
      <c r="I498" s="28">
        <f>IF(OR(C498&lt;&gt;"",D498&lt;&gt;""),I497+IF(C498&lt;&gt;"",C498,0)-IF(D498&lt;&gt;"",D498,0),"")</f>
        <v/>
      </c>
    </row>
    <row r="499" ht="18" customHeight="1">
      <c r="A499" s="68" t="n"/>
      <c r="B499" s="70" t="n"/>
      <c r="C499" s="128" t="n"/>
      <c r="D499" s="129" t="n"/>
      <c r="E499" s="71" t="n"/>
      <c r="F499" s="71" t="n"/>
      <c r="G499" s="71" t="n"/>
      <c r="H499" s="71" t="n"/>
      <c r="I499" s="28">
        <f>IF(OR(C499&lt;&gt;"",D499&lt;&gt;""),I498+IF(C499&lt;&gt;"",C499,0)-IF(D499&lt;&gt;"",D499,0),"")</f>
        <v/>
      </c>
    </row>
    <row r="500" ht="18" customHeight="1">
      <c r="A500" s="56" t="n"/>
      <c r="B500" s="58" t="n"/>
      <c r="C500" s="128" t="n"/>
      <c r="D500" s="129" t="n"/>
      <c r="E500" s="59" t="n"/>
      <c r="F500" s="59" t="n"/>
      <c r="G500" s="59" t="n"/>
      <c r="H500" s="59" t="n"/>
      <c r="I500" s="28">
        <f>IF(OR(C500&lt;&gt;"",D500&lt;&gt;""),I499+IF(C500&lt;&gt;"",C500,0)-IF(D500&lt;&gt;"",D500,0),"")</f>
        <v/>
      </c>
    </row>
    <row r="501" ht="18" customHeight="1">
      <c r="A501" s="68" t="n"/>
      <c r="B501" s="70" t="n"/>
      <c r="C501" s="128" t="n"/>
      <c r="D501" s="129" t="n"/>
      <c r="E501" s="71" t="n"/>
      <c r="F501" s="71" t="n"/>
      <c r="G501" s="71" t="n"/>
      <c r="H501" s="71" t="n"/>
      <c r="I501" s="28">
        <f>IF(OR(C501&lt;&gt;"",D501&lt;&gt;""),I500+IF(C501&lt;&gt;"",C501,0)-IF(D501&lt;&gt;"",D501,0),"")</f>
        <v/>
      </c>
    </row>
    <row r="502" ht="18" customHeight="1">
      <c r="A502" s="56" t="n"/>
      <c r="B502" s="58" t="n"/>
      <c r="C502" s="128" t="n"/>
      <c r="D502" s="129" t="n"/>
      <c r="E502" s="59" t="n"/>
      <c r="F502" s="59" t="n"/>
      <c r="G502" s="59" t="n"/>
      <c r="H502" s="59" t="n"/>
      <c r="I502" s="28">
        <f>IF(OR(C502&lt;&gt;"",D502&lt;&gt;""),I501+IF(C502&lt;&gt;"",C502,0)-IF(D502&lt;&gt;"",D502,0),"")</f>
        <v/>
      </c>
    </row>
    <row r="503" ht="18" customHeight="1">
      <c r="A503" s="68" t="n"/>
      <c r="B503" s="70" t="n"/>
      <c r="C503" s="128" t="n"/>
      <c r="D503" s="129" t="n"/>
      <c r="E503" s="71" t="n"/>
      <c r="F503" s="71" t="n"/>
      <c r="G503" s="71" t="n"/>
      <c r="H503" s="71" t="n"/>
      <c r="I503" s="28">
        <f>IF(OR(C503&lt;&gt;"",D503&lt;&gt;""),I502+IF(C503&lt;&gt;"",C503,0)-IF(D503&lt;&gt;"",D503,0),"")</f>
        <v/>
      </c>
    </row>
    <row r="504" ht="18" customHeight="1">
      <c r="A504" s="56" t="n"/>
      <c r="B504" s="58" t="n"/>
      <c r="C504" s="128" t="n"/>
      <c r="D504" s="129" t="n"/>
      <c r="E504" s="59" t="n"/>
      <c r="F504" s="59" t="n"/>
      <c r="G504" s="59" t="n"/>
      <c r="H504" s="59" t="n"/>
      <c r="I504" s="28">
        <f>IF(OR(C504&lt;&gt;"",D504&lt;&gt;""),I503+IF(C504&lt;&gt;"",C504,0)-IF(D504&lt;&gt;"",D504,0),"")</f>
        <v/>
      </c>
    </row>
  </sheetData>
  <mergeCells count="2">
    <mergeCell ref="A1:I1"/>
    <mergeCell ref="A2:I2"/>
  </mergeCells>
  <dataValidations count="3">
    <dataValidation sqref="E4:E504" showDropDown="0" showInputMessage="0" showErrorMessage="0" allowBlank="1" type="list">
      <formula1>"Servicio,Gasto operativo,Mensualidad,Publicidad,Administración,Deuda,Nómina,Mantenimiento"</formula1>
    </dataValidation>
    <dataValidation sqref="F4:F504" showDropDown="0" showInputMessage="0" showErrorMessage="0" allowBlank="1" type="list">
      <formula1>"Pick Up,1.5 Cerrada,2.5,3.5,General"</formula1>
    </dataValidation>
    <dataValidation sqref="H4:H504" showDropDown="0" showInputMessage="0" showErrorMessage="0" allowBlank="1" type="list">
      <formula1>"Efectivo,Transferencia,Tarjeta,Mixto"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5" customHeight="1">
      <c r="A1" s="136" t="inlineStr">
        <is>
          <t>MUDANZAS METEPEC — GASTOS FIJOS</t>
        </is>
      </c>
    </row>
    <row r="2" ht="22" customHeight="1">
      <c r="A2" s="137" t="inlineStr">
        <is>
          <t>Gastos fijos mensuales · Punto de equilibrio · Avance de cobertura</t>
        </is>
      </c>
    </row>
    <row r="3" ht="28" customHeight="1">
      <c r="A3" s="101" t="inlineStr">
        <is>
          <t>CONCEPTO</t>
        </is>
      </c>
      <c r="B3" s="101" t="inlineStr">
        <is>
          <t>MONTO MES $</t>
        </is>
      </c>
      <c r="C3" s="101" t="inlineStr">
        <is>
          <t>MONTO SEM $</t>
        </is>
      </c>
      <c r="D3" s="101" t="inlineStr">
        <is>
          <t>% DEL TOTAL</t>
        </is>
      </c>
      <c r="E3" s="101" t="inlineStr">
        <is>
          <t>CATEGORÍA</t>
        </is>
      </c>
    </row>
    <row r="4" ht="22" customHeight="1">
      <c r="A4" s="138" t="inlineStr">
        <is>
          <t>Camioneta 2.5</t>
        </is>
      </c>
      <c r="B4" s="92" t="n">
        <v>16000</v>
      </c>
      <c r="C4" s="62">
        <f>B4/4.33</f>
        <v/>
      </c>
      <c r="D4" s="82">
        <f>B4/$B$11*100</f>
        <v/>
      </c>
      <c r="E4" s="59" t="inlineStr">
        <is>
          <t>Unidad</t>
        </is>
      </c>
    </row>
    <row r="5" ht="22" customHeight="1">
      <c r="A5" s="139" t="inlineStr">
        <is>
          <t>Camioneta 1.5 C</t>
        </is>
      </c>
      <c r="B5" s="43" t="n">
        <v>13200</v>
      </c>
      <c r="C5" s="74">
        <f>B5/4.33</f>
        <v/>
      </c>
      <c r="D5" s="84">
        <f>B5/$B$11*100</f>
        <v/>
      </c>
      <c r="E5" s="71" t="inlineStr">
        <is>
          <t>Unidad</t>
        </is>
      </c>
    </row>
    <row r="6" ht="22" customHeight="1">
      <c r="A6" s="138" t="inlineStr">
        <is>
          <t>Camioneta Pick Up</t>
        </is>
      </c>
      <c r="B6" s="92" t="n">
        <v>9000</v>
      </c>
      <c r="C6" s="62">
        <f>B6/4.33</f>
        <v/>
      </c>
      <c r="D6" s="82">
        <f>B6/$B$11*100</f>
        <v/>
      </c>
      <c r="E6" s="59" t="inlineStr">
        <is>
          <t>Unidad</t>
        </is>
      </c>
    </row>
    <row r="7" ht="22" customHeight="1">
      <c r="A7" s="139" t="inlineStr">
        <is>
          <t>Pensión (estacionam)</t>
        </is>
      </c>
      <c r="B7" s="43" t="n">
        <v>20000</v>
      </c>
      <c r="C7" s="74">
        <f>B7/4.33</f>
        <v/>
      </c>
      <c r="D7" s="84">
        <f>B7/$B$11*100</f>
        <v/>
      </c>
      <c r="E7" s="71" t="inlineStr">
        <is>
          <t>Operativo</t>
        </is>
      </c>
    </row>
    <row r="8" ht="22" customHeight="1">
      <c r="A8" s="138" t="inlineStr">
        <is>
          <t>Anuncios / Publicidad</t>
        </is>
      </c>
      <c r="B8" s="92" t="n">
        <v>6000</v>
      </c>
      <c r="C8" s="62">
        <f>B8/4.33</f>
        <v/>
      </c>
      <c r="D8" s="82">
        <f>B8/$B$11*100</f>
        <v/>
      </c>
      <c r="E8" s="59" t="inlineStr">
        <is>
          <t>Marketing</t>
        </is>
      </c>
    </row>
    <row r="9" ht="22" customHeight="1">
      <c r="A9" s="139" t="inlineStr">
        <is>
          <t>Suscripciones</t>
        </is>
      </c>
      <c r="B9" s="43" t="n">
        <v>5000</v>
      </c>
      <c r="C9" s="74">
        <f>B9/4.33</f>
        <v/>
      </c>
      <c r="D9" s="84">
        <f>B9/$B$11*100</f>
        <v/>
      </c>
      <c r="E9" s="71" t="inlineStr">
        <is>
          <t>Admin</t>
        </is>
      </c>
    </row>
    <row r="10" ht="22" customHeight="1">
      <c r="A10" s="138" t="inlineStr">
        <is>
          <t>Administración</t>
        </is>
      </c>
      <c r="B10" s="92" t="n">
        <v>30000</v>
      </c>
      <c r="C10" s="62">
        <f>B10/4.33</f>
        <v/>
      </c>
      <c r="D10" s="82">
        <f>B10/$B$11*100</f>
        <v/>
      </c>
      <c r="E10" s="59" t="inlineStr">
        <is>
          <t>Admin</t>
        </is>
      </c>
    </row>
    <row r="11" ht="26" customHeight="1">
      <c r="A11" s="140" t="inlineStr">
        <is>
          <t>TOTAL MENSUAL</t>
        </is>
      </c>
      <c r="B11" s="141">
        <f>SUM(B4:B10)</f>
        <v/>
      </c>
      <c r="C11" s="142">
        <f>B11/4.33</f>
        <v/>
      </c>
      <c r="D11" s="143" t="inlineStr">
        <is>
          <t>100%</t>
        </is>
      </c>
    </row>
    <row r="13" ht="28" customHeight="1">
      <c r="A13" s="87" t="inlineStr">
        <is>
          <t>AVANCE DE COBERTURA DE GASTOS FIJOS</t>
        </is>
      </c>
    </row>
    <row r="14" ht="22" customHeight="1">
      <c r="A14" s="131" t="inlineStr">
        <is>
          <t>Ventas del mes (total flota)</t>
        </is>
      </c>
      <c r="B14" s="28">
        <f>IFERROR(SUM(Agenda!N:N),0)</f>
        <v/>
      </c>
      <c r="C14" s="144" t="n"/>
      <c r="D14" s="144" t="n"/>
      <c r="E14" s="144" t="n"/>
    </row>
    <row r="15" ht="22" customHeight="1">
      <c r="A15" s="132" t="inlineStr">
        <is>
          <t>Gastos fijos totales</t>
        </is>
      </c>
      <c r="B15" s="81">
        <f>B11</f>
        <v/>
      </c>
      <c r="C15" s="145" t="n"/>
      <c r="D15" s="145" t="n"/>
      <c r="E15" s="145" t="n"/>
    </row>
    <row r="16" ht="22" customHeight="1">
      <c r="A16" s="131" t="inlineStr">
        <is>
          <t>Gastos fijos CUBIERTOS</t>
        </is>
      </c>
      <c r="B16" s="28">
        <f>MIN(B14,B15)</f>
        <v/>
      </c>
      <c r="C16" s="144" t="n"/>
      <c r="D16" s="144" t="n"/>
      <c r="E16" s="144" t="n"/>
    </row>
    <row r="17" ht="22" customHeight="1">
      <c r="A17" s="135" t="inlineStr">
        <is>
          <t>FALTA para cubrir gastos fijos</t>
        </is>
      </c>
      <c r="B17" s="89">
        <f>MAX(0,B15-B14)</f>
        <v/>
      </c>
      <c r="C17" s="146" t="n"/>
      <c r="D17" s="146" t="n"/>
      <c r="E17" s="146" t="n"/>
    </row>
    <row r="18" ht="22" customHeight="1">
      <c r="A18" s="147" t="inlineStr">
        <is>
          <t>% Cobertura alcanzado</t>
        </is>
      </c>
      <c r="B18" s="148">
        <f>IF(B15&gt;0,B14/B15*100,0)</f>
        <v/>
      </c>
      <c r="C18" s="125" t="n"/>
      <c r="D18" s="125" t="n"/>
      <c r="E18" s="125" t="n"/>
    </row>
    <row r="19" ht="22" customHeight="1">
      <c r="A19" s="149" t="inlineStr">
        <is>
          <t>Ventas necesarias p/equilibrio</t>
        </is>
      </c>
      <c r="B19" s="150">
        <f>B15</f>
        <v/>
      </c>
      <c r="C19" s="104" t="n"/>
      <c r="D19" s="104" t="n"/>
      <c r="E19" s="104" t="n"/>
    </row>
    <row r="20" ht="22" customHeight="1">
      <c r="A20" s="131" t="inlineStr">
        <is>
          <t>Margen sobre gastos fijos</t>
        </is>
      </c>
      <c r="B20" s="28">
        <f>MAX(0,B14-B15)</f>
        <v/>
      </c>
      <c r="C20" s="144" t="n"/>
      <c r="D20" s="144" t="n"/>
      <c r="E20" s="144" t="n"/>
    </row>
    <row r="22" ht="25" customHeight="1">
      <c r="A22" s="151" t="inlineStr">
        <is>
          <t>DISTRIBUCIÓN META POR UNIDAD (vs. Gastos Fijos)</t>
        </is>
      </c>
    </row>
    <row r="23" ht="26" customHeight="1">
      <c r="A23" s="19" t="inlineStr">
        <is>
          <t>UNIDAD</t>
        </is>
      </c>
      <c r="B23" s="19" t="inlineStr">
        <is>
          <t>META MES $</t>
        </is>
      </c>
      <c r="C23" s="19" t="inlineStr">
        <is>
          <t>META SEM $</t>
        </is>
      </c>
      <c r="D23" s="19" t="inlineStr">
        <is>
          <t>% META/GASTO</t>
        </is>
      </c>
      <c r="E23" s="19" t="inlineStr">
        <is>
          <t>VENTAS REALES $</t>
        </is>
      </c>
    </row>
    <row r="24" ht="22" customHeight="1">
      <c r="A24" s="54" t="inlineStr">
        <is>
          <t>Pick Up</t>
        </is>
      </c>
      <c r="B24" s="62" t="n">
        <v>24250</v>
      </c>
      <c r="C24" s="62" t="n">
        <v>5600</v>
      </c>
      <c r="D24" s="82">
        <f>B24/$B$11*100</f>
        <v/>
      </c>
      <c r="E24" s="28">
        <f>SUMIF(Agenda!K:K,"Pick Up",Agenda!N:N)</f>
        <v/>
      </c>
    </row>
    <row r="25" ht="22" customHeight="1">
      <c r="A25" s="54" t="inlineStr">
        <is>
          <t>1.5 Cerrada</t>
        </is>
      </c>
      <c r="B25" s="74" t="n">
        <v>28450</v>
      </c>
      <c r="C25" s="74" t="n">
        <v>6570</v>
      </c>
      <c r="D25" s="84">
        <f>B25/$B$11*100</f>
        <v/>
      </c>
      <c r="E25" s="28">
        <f>SUMIF(Agenda!K:K,"1.5 Cerrada",Agenda!N:N)</f>
        <v/>
      </c>
    </row>
    <row r="26" ht="22" customHeight="1">
      <c r="A26" s="54" t="inlineStr">
        <is>
          <t>2.5</t>
        </is>
      </c>
      <c r="B26" s="62" t="n">
        <v>31250</v>
      </c>
      <c r="C26" s="62" t="n">
        <v>7220</v>
      </c>
      <c r="D26" s="82">
        <f>B26/$B$11*100</f>
        <v/>
      </c>
      <c r="E26" s="28">
        <f>SUMIF(Agenda!K:K,"2.5",Agenda!N:N)</f>
        <v/>
      </c>
    </row>
    <row r="27" ht="22" customHeight="1">
      <c r="A27" s="54" t="inlineStr">
        <is>
          <t>3.5</t>
        </is>
      </c>
      <c r="B27" s="74" t="n">
        <v>15250</v>
      </c>
      <c r="C27" s="74" t="n">
        <v>3520</v>
      </c>
      <c r="D27" s="84">
        <f>B27/$B$11*100</f>
        <v/>
      </c>
      <c r="E27" s="28">
        <f>SUMIF(Agenda!K:K,"3.5",Agenda!N:N)</f>
        <v/>
      </c>
    </row>
  </sheetData>
  <mergeCells count="4">
    <mergeCell ref="A2:E2"/>
    <mergeCell ref="A22:E2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22" customWidth="1" min="5" max="5"/>
    <col width="13" customWidth="1" min="6" max="6"/>
    <col width="9" customWidth="1" min="7" max="7"/>
    <col width="22" customWidth="1" min="8" max="8"/>
    <col width="13" customWidth="1" min="9" max="9"/>
    <col width="11" customWidth="1" min="10" max="10"/>
    <col width="11" customWidth="1" min="11" max="11"/>
    <col width="11" customWidth="1" min="12" max="12"/>
    <col width="14" customWidth="1" min="13" max="13"/>
    <col width="12" customWidth="1" min="14" max="14"/>
    <col width="13" customWidth="1" min="15" max="15"/>
    <col width="30" customWidth="1" min="16" max="16"/>
    <col width="28" customWidth="1" min="18" max="18"/>
    <col width="16" customWidth="1" min="19" max="19"/>
  </cols>
  <sheetData>
    <row r="1" ht="35" customHeight="1">
      <c r="A1" s="51" t="inlineStr">
        <is>
          <t>MUDANZAS METEPEC — CLIENTES Y SEGUIMIENTO</t>
        </is>
      </c>
    </row>
    <row r="2" ht="22" customHeight="1">
      <c r="A2" s="52" t="inlineStr">
        <is>
          <t>CRM básico: contacto → cotización → cierre → reseña → recurrencia</t>
        </is>
      </c>
    </row>
    <row r="3" ht="22" customHeight="1">
      <c r="A3" s="53" t="inlineStr">
        <is>
          <t>NOMBRE</t>
        </is>
      </c>
      <c r="B3" s="53" t="inlineStr">
        <is>
          <t>TELÉFONO</t>
        </is>
      </c>
      <c r="C3" s="53" t="inlineStr">
        <is>
          <t>F.CONTACTO</t>
        </is>
      </c>
      <c r="D3" s="53" t="inlineStr">
        <is>
          <t>FUENTE</t>
        </is>
      </c>
      <c r="E3" s="53" t="inlineStr">
        <is>
          <t>SERVICIO SOL.</t>
        </is>
      </c>
      <c r="F3" s="53" t="inlineStr">
        <is>
          <t>COTIZACIÓN $</t>
        </is>
      </c>
      <c r="G3" s="53" t="inlineStr">
        <is>
          <t>CERRÓ</t>
        </is>
      </c>
      <c r="H3" s="53" t="inlineStr">
        <is>
          <t>MOTIVO NO CERRÓ</t>
        </is>
      </c>
      <c r="I3" s="53" t="inlineStr">
        <is>
          <t>F.SEGUIMIENTO</t>
        </is>
      </c>
      <c r="J3" s="53" t="inlineStr">
        <is>
          <t>RESEÑA SOL.</t>
        </is>
      </c>
      <c r="K3" s="53" t="inlineStr">
        <is>
          <t>RESEÑA REC.</t>
        </is>
      </c>
      <c r="L3" s="53" t="inlineStr">
        <is>
          <t>RECURRENTE</t>
        </is>
      </c>
      <c r="M3" s="53" t="inlineStr">
        <is>
          <t>VALOR CLIENTE $</t>
        </is>
      </c>
      <c r="N3" s="53" t="inlineStr">
        <is>
          <t>SERVICIOS TOTAL</t>
        </is>
      </c>
      <c r="O3" s="53" t="inlineStr">
        <is>
          <t>ÚLTIMO SERVICIO</t>
        </is>
      </c>
      <c r="P3" s="53" t="inlineStr">
        <is>
          <t>OBSERVACIONES</t>
        </is>
      </c>
      <c r="R3" s="130" t="inlineStr">
        <is>
          <t>MÉTRICAS CRM</t>
        </is>
      </c>
    </row>
    <row r="4" ht="22" customHeight="1">
      <c r="A4" s="58" t="n"/>
      <c r="B4" s="58" t="n"/>
      <c r="C4" s="56" t="n"/>
      <c r="D4" s="59" t="n"/>
      <c r="E4" s="58" t="n"/>
      <c r="F4" s="62" t="n"/>
      <c r="G4" s="59" t="n"/>
      <c r="H4" s="61" t="n"/>
      <c r="I4" s="56" t="n"/>
      <c r="J4" s="59" t="n"/>
      <c r="K4" s="59" t="n"/>
      <c r="L4" s="59" t="n"/>
      <c r="M4" s="28">
        <f>IF(A4&lt;&gt;"",IFERROR(SUMIF(Agenda!E:E,A4,Agenda!N:N),0),"")</f>
        <v/>
      </c>
      <c r="N4" s="54">
        <f>IF(A4&lt;&gt;"",IFERROR(COUNTIF(Agenda!E:E,A4),0),"")</f>
        <v/>
      </c>
      <c r="O4" s="56">
        <f>IF(A4&lt;&gt;"",IFERROR(MAXIFS(Agenda!C:C,Agenda!E:E,A4),""),"")</f>
        <v/>
      </c>
      <c r="P4" s="61" t="n"/>
      <c r="R4" s="147" t="inlineStr">
        <is>
          <t>Total contactos</t>
        </is>
      </c>
      <c r="S4" s="152">
        <f>COUNTA(A4:A303)</f>
        <v/>
      </c>
    </row>
    <row r="5" ht="22" customHeight="1">
      <c r="A5" s="70" t="n"/>
      <c r="B5" s="70" t="n"/>
      <c r="C5" s="68" t="n"/>
      <c r="D5" s="71" t="n"/>
      <c r="E5" s="70" t="n"/>
      <c r="F5" s="74" t="n"/>
      <c r="G5" s="71" t="n"/>
      <c r="H5" s="73" t="n"/>
      <c r="I5" s="68" t="n"/>
      <c r="J5" s="71" t="n"/>
      <c r="K5" s="71" t="n"/>
      <c r="L5" s="71" t="n"/>
      <c r="M5" s="28">
        <f>IF(A5&lt;&gt;"",IFERROR(SUMIF(Agenda!E:E,A5,Agenda!N:N),0),"")</f>
        <v/>
      </c>
      <c r="N5" s="54">
        <f>IF(A5&lt;&gt;"",IFERROR(COUNTIF(Agenda!E:E,A5),0),"")</f>
        <v/>
      </c>
      <c r="O5" s="68">
        <f>IF(A5&lt;&gt;"",IFERROR(MAXIFS(Agenda!C:C,Agenda!E:E,A5),""),"")</f>
        <v/>
      </c>
      <c r="P5" s="73" t="n"/>
      <c r="R5" s="131" t="inlineStr">
        <is>
          <t>Total cerrados</t>
        </is>
      </c>
      <c r="S5" s="153">
        <f>COUNTIF(G4:G303,"Sí")</f>
        <v/>
      </c>
    </row>
    <row r="6" ht="22" customHeight="1">
      <c r="A6" s="58" t="n"/>
      <c r="B6" s="58" t="n"/>
      <c r="C6" s="56" t="n"/>
      <c r="D6" s="59" t="n"/>
      <c r="E6" s="58" t="n"/>
      <c r="F6" s="62" t="n"/>
      <c r="G6" s="59" t="n"/>
      <c r="H6" s="61" t="n"/>
      <c r="I6" s="56" t="n"/>
      <c r="J6" s="59" t="n"/>
      <c r="K6" s="59" t="n"/>
      <c r="L6" s="59" t="n"/>
      <c r="M6" s="28">
        <f>IF(A6&lt;&gt;"",IFERROR(SUMIF(Agenda!E:E,A6,Agenda!N:N),0),"")</f>
        <v/>
      </c>
      <c r="N6" s="54">
        <f>IF(A6&lt;&gt;"",IFERROR(COUNTIF(Agenda!E:E,A6),0),"")</f>
        <v/>
      </c>
      <c r="O6" s="56">
        <f>IF(A6&lt;&gt;"",IFERROR(MAXIFS(Agenda!C:C,Agenda!E:E,A6),""),"")</f>
        <v/>
      </c>
      <c r="P6" s="61" t="n"/>
      <c r="R6" s="132" t="inlineStr">
        <is>
          <t>No cerrados</t>
        </is>
      </c>
      <c r="S6" s="154">
        <f>COUNTIF(G4:G303,"No")</f>
        <v/>
      </c>
    </row>
    <row r="7" ht="22" customHeight="1">
      <c r="A7" s="70" t="n"/>
      <c r="B7" s="70" t="n"/>
      <c r="C7" s="68" t="n"/>
      <c r="D7" s="71" t="n"/>
      <c r="E7" s="70" t="n"/>
      <c r="F7" s="74" t="n"/>
      <c r="G7" s="71" t="n"/>
      <c r="H7" s="73" t="n"/>
      <c r="I7" s="68" t="n"/>
      <c r="J7" s="71" t="n"/>
      <c r="K7" s="71" t="n"/>
      <c r="L7" s="71" t="n"/>
      <c r="M7" s="28">
        <f>IF(A7&lt;&gt;"",IFERROR(SUMIF(Agenda!E:E,A7,Agenda!N:N),0),"")</f>
        <v/>
      </c>
      <c r="N7" s="54">
        <f>IF(A7&lt;&gt;"",IFERROR(COUNTIF(Agenda!E:E,A7),0),"")</f>
        <v/>
      </c>
      <c r="O7" s="68">
        <f>IF(A7&lt;&gt;"",IFERROR(MAXIFS(Agenda!C:C,Agenda!E:E,A7),""),"")</f>
        <v/>
      </c>
      <c r="P7" s="73" t="n"/>
      <c r="R7" s="147" t="inlineStr">
        <is>
          <t>Tasa de cierre %</t>
        </is>
      </c>
      <c r="S7" s="148">
        <f>IF(COUNTA(A4:A303)&gt;0,COUNTIF(G4:G303,"Sí")/COUNTA(A4:A303)*100,0)</f>
        <v/>
      </c>
    </row>
    <row r="8" ht="22" customHeight="1">
      <c r="A8" s="58" t="n"/>
      <c r="B8" s="58" t="n"/>
      <c r="C8" s="56" t="n"/>
      <c r="D8" s="59" t="n"/>
      <c r="E8" s="58" t="n"/>
      <c r="F8" s="62" t="n"/>
      <c r="G8" s="59" t="n"/>
      <c r="H8" s="61" t="n"/>
      <c r="I8" s="56" t="n"/>
      <c r="J8" s="59" t="n"/>
      <c r="K8" s="59" t="n"/>
      <c r="L8" s="59" t="n"/>
      <c r="M8" s="28">
        <f>IF(A8&lt;&gt;"",IFERROR(SUMIF(Agenda!E:E,A8,Agenda!N:N),0),"")</f>
        <v/>
      </c>
      <c r="N8" s="54">
        <f>IF(A8&lt;&gt;"",IFERROR(COUNTIF(Agenda!E:E,A8),0),"")</f>
        <v/>
      </c>
      <c r="O8" s="56">
        <f>IF(A8&lt;&gt;"",IFERROR(MAXIFS(Agenda!C:C,Agenda!E:E,A8),""),"")</f>
        <v/>
      </c>
      <c r="P8" s="61" t="n"/>
      <c r="R8" s="131" t="inlineStr">
        <is>
          <t>Reseñas recibidas</t>
        </is>
      </c>
      <c r="S8" s="153">
        <f>COUNTIF(K4:K303,"Sí")</f>
        <v/>
      </c>
    </row>
    <row r="9" ht="22" customHeight="1">
      <c r="A9" s="70" t="n"/>
      <c r="B9" s="70" t="n"/>
      <c r="C9" s="68" t="n"/>
      <c r="D9" s="71" t="n"/>
      <c r="E9" s="70" t="n"/>
      <c r="F9" s="74" t="n"/>
      <c r="G9" s="71" t="n"/>
      <c r="H9" s="73" t="n"/>
      <c r="I9" s="68" t="n"/>
      <c r="J9" s="71" t="n"/>
      <c r="K9" s="71" t="n"/>
      <c r="L9" s="71" t="n"/>
      <c r="M9" s="28">
        <f>IF(A9&lt;&gt;"",IFERROR(SUMIF(Agenda!E:E,A9,Agenda!N:N),0),"")</f>
        <v/>
      </c>
      <c r="N9" s="54">
        <f>IF(A9&lt;&gt;"",IFERROR(COUNTIF(Agenda!E:E,A9),0),"")</f>
        <v/>
      </c>
      <c r="O9" s="68">
        <f>IF(A9&lt;&gt;"",IFERROR(MAXIFS(Agenda!C:C,Agenda!E:E,A9),""),"")</f>
        <v/>
      </c>
      <c r="P9" s="73" t="n"/>
      <c r="R9" s="131" t="inlineStr">
        <is>
          <t>Clientes recurrentes</t>
        </is>
      </c>
      <c r="S9" s="153">
        <f>COUNTIF(L4:L303,"Sí")</f>
        <v/>
      </c>
    </row>
    <row r="10" ht="22" customHeight="1">
      <c r="A10" s="58" t="n"/>
      <c r="B10" s="58" t="n"/>
      <c r="C10" s="56" t="n"/>
      <c r="D10" s="59" t="n"/>
      <c r="E10" s="58" t="n"/>
      <c r="F10" s="62" t="n"/>
      <c r="G10" s="59" t="n"/>
      <c r="H10" s="61" t="n"/>
      <c r="I10" s="56" t="n"/>
      <c r="J10" s="59" t="n"/>
      <c r="K10" s="59" t="n"/>
      <c r="L10" s="59" t="n"/>
      <c r="M10" s="28">
        <f>IF(A10&lt;&gt;"",IFERROR(SUMIF(Agenda!E:E,A10,Agenda!N:N),0),"")</f>
        <v/>
      </c>
      <c r="N10" s="54">
        <f>IF(A10&lt;&gt;"",IFERROR(COUNTIF(Agenda!E:E,A10),0),"")</f>
        <v/>
      </c>
      <c r="O10" s="56">
        <f>IF(A10&lt;&gt;"",IFERROR(MAXIFS(Agenda!C:C,Agenda!E:E,A10),""),"")</f>
        <v/>
      </c>
      <c r="P10" s="61" t="n"/>
      <c r="R10" s="139" t="inlineStr">
        <is>
          <t>Fuente: Facebook</t>
        </is>
      </c>
      <c r="S10" s="155">
        <f>COUNTIF(D4:D303,"Facebook")</f>
        <v/>
      </c>
    </row>
    <row r="11" ht="22" customHeight="1">
      <c r="A11" s="70" t="n"/>
      <c r="B11" s="70" t="n"/>
      <c r="C11" s="68" t="n"/>
      <c r="D11" s="71" t="n"/>
      <c r="E11" s="70" t="n"/>
      <c r="F11" s="74" t="n"/>
      <c r="G11" s="71" t="n"/>
      <c r="H11" s="73" t="n"/>
      <c r="I11" s="68" t="n"/>
      <c r="J11" s="71" t="n"/>
      <c r="K11" s="71" t="n"/>
      <c r="L11" s="71" t="n"/>
      <c r="M11" s="28">
        <f>IF(A11&lt;&gt;"",IFERROR(SUMIF(Agenda!E:E,A11,Agenda!N:N),0),"")</f>
        <v/>
      </c>
      <c r="N11" s="54">
        <f>IF(A11&lt;&gt;"",IFERROR(COUNTIF(Agenda!E:E,A11),0),"")</f>
        <v/>
      </c>
      <c r="O11" s="68">
        <f>IF(A11&lt;&gt;"",IFERROR(MAXIFS(Agenda!C:C,Agenda!E:E,A11),""),"")</f>
        <v/>
      </c>
      <c r="P11" s="73" t="n"/>
      <c r="R11" s="139" t="inlineStr">
        <is>
          <t>Fuente: WhatsApp</t>
        </is>
      </c>
      <c r="S11" s="155">
        <f>COUNTIF(D4:D303,"WhatsApp")</f>
        <v/>
      </c>
    </row>
    <row r="12" ht="22" customHeight="1">
      <c r="A12" s="58" t="n"/>
      <c r="B12" s="58" t="n"/>
      <c r="C12" s="56" t="n"/>
      <c r="D12" s="59" t="n"/>
      <c r="E12" s="58" t="n"/>
      <c r="F12" s="62" t="n"/>
      <c r="G12" s="59" t="n"/>
      <c r="H12" s="61" t="n"/>
      <c r="I12" s="56" t="n"/>
      <c r="J12" s="59" t="n"/>
      <c r="K12" s="59" t="n"/>
      <c r="L12" s="59" t="n"/>
      <c r="M12" s="28">
        <f>IF(A12&lt;&gt;"",IFERROR(SUMIF(Agenda!E:E,A12,Agenda!N:N),0),"")</f>
        <v/>
      </c>
      <c r="N12" s="54">
        <f>IF(A12&lt;&gt;"",IFERROR(COUNTIF(Agenda!E:E,A12),0),"")</f>
        <v/>
      </c>
      <c r="O12" s="56">
        <f>IF(A12&lt;&gt;"",IFERROR(MAXIFS(Agenda!C:C,Agenda!E:E,A12),""),"")</f>
        <v/>
      </c>
      <c r="P12" s="61" t="n"/>
      <c r="R12" s="139" t="inlineStr">
        <is>
          <t>Fuente: Recomendación</t>
        </is>
      </c>
      <c r="S12" s="155">
        <f>COUNTIF(D4:D303,"Recomendación")</f>
        <v/>
      </c>
    </row>
    <row r="13" ht="22" customHeight="1">
      <c r="A13" s="70" t="n"/>
      <c r="B13" s="70" t="n"/>
      <c r="C13" s="68" t="n"/>
      <c r="D13" s="71" t="n"/>
      <c r="E13" s="70" t="n"/>
      <c r="F13" s="74" t="n"/>
      <c r="G13" s="71" t="n"/>
      <c r="H13" s="73" t="n"/>
      <c r="I13" s="68" t="n"/>
      <c r="J13" s="71" t="n"/>
      <c r="K13" s="71" t="n"/>
      <c r="L13" s="71" t="n"/>
      <c r="M13" s="28">
        <f>IF(A13&lt;&gt;"",IFERROR(SUMIF(Agenda!E:E,A13,Agenda!N:N),0),"")</f>
        <v/>
      </c>
      <c r="N13" s="54">
        <f>IF(A13&lt;&gt;"",IFERROR(COUNTIF(Agenda!E:E,A13),0),"")</f>
        <v/>
      </c>
      <c r="O13" s="68">
        <f>IF(A13&lt;&gt;"",IFERROR(MAXIFS(Agenda!C:C,Agenda!E:E,A13),""),"")</f>
        <v/>
      </c>
      <c r="P13" s="73" t="n"/>
      <c r="R13" s="139" t="inlineStr">
        <is>
          <t>Fuente: Saleads</t>
        </is>
      </c>
      <c r="S13" s="155">
        <f>COUNTIF(D4:D303,"Saleads")</f>
        <v/>
      </c>
    </row>
    <row r="14" ht="18" customHeight="1">
      <c r="A14" s="58" t="n"/>
      <c r="B14" s="58" t="n"/>
      <c r="C14" s="56" t="n"/>
      <c r="D14" s="59" t="n"/>
      <c r="E14" s="58" t="n"/>
      <c r="F14" s="62" t="n"/>
      <c r="G14" s="59" t="n"/>
      <c r="H14" s="61" t="n"/>
      <c r="I14" s="56" t="n"/>
      <c r="J14" s="59" t="n"/>
      <c r="K14" s="59" t="n"/>
      <c r="L14" s="59" t="n"/>
      <c r="M14" s="28">
        <f>IF(A14&lt;&gt;"",IFERROR(SUMIF(Agenda!E:E,A14,Agenda!N:N),0),"")</f>
        <v/>
      </c>
      <c r="N14" s="54">
        <f>IF(A14&lt;&gt;"",IFERROR(COUNTIF(Agenda!E:E,A14),0),"")</f>
        <v/>
      </c>
      <c r="O14" s="56">
        <f>IF(A14&lt;&gt;"",IFERROR(MAXIFS(Agenda!C:C,Agenda!E:E,A14),""),"")</f>
        <v/>
      </c>
      <c r="P14" s="61" t="n"/>
    </row>
    <row r="15" ht="18" customHeight="1">
      <c r="A15" s="70" t="n"/>
      <c r="B15" s="70" t="n"/>
      <c r="C15" s="68" t="n"/>
      <c r="D15" s="71" t="n"/>
      <c r="E15" s="70" t="n"/>
      <c r="F15" s="74" t="n"/>
      <c r="G15" s="71" t="n"/>
      <c r="H15" s="73" t="n"/>
      <c r="I15" s="68" t="n"/>
      <c r="J15" s="71" t="n"/>
      <c r="K15" s="71" t="n"/>
      <c r="L15" s="71" t="n"/>
      <c r="M15" s="28">
        <f>IF(A15&lt;&gt;"",IFERROR(SUMIF(Agenda!E:E,A15,Agenda!N:N),0),"")</f>
        <v/>
      </c>
      <c r="N15" s="54">
        <f>IF(A15&lt;&gt;"",IFERROR(COUNTIF(Agenda!E:E,A15),0),"")</f>
        <v/>
      </c>
      <c r="O15" s="68">
        <f>IF(A15&lt;&gt;"",IFERROR(MAXIFS(Agenda!C:C,Agenda!E:E,A15),""),"")</f>
        <v/>
      </c>
      <c r="P15" s="73" t="n"/>
    </row>
    <row r="16" ht="18" customHeight="1">
      <c r="A16" s="58" t="n"/>
      <c r="B16" s="58" t="n"/>
      <c r="C16" s="56" t="n"/>
      <c r="D16" s="59" t="n"/>
      <c r="E16" s="58" t="n"/>
      <c r="F16" s="62" t="n"/>
      <c r="G16" s="59" t="n"/>
      <c r="H16" s="61" t="n"/>
      <c r="I16" s="56" t="n"/>
      <c r="J16" s="59" t="n"/>
      <c r="K16" s="59" t="n"/>
      <c r="L16" s="59" t="n"/>
      <c r="M16" s="28">
        <f>IF(A16&lt;&gt;"",IFERROR(SUMIF(Agenda!E:E,A16,Agenda!N:N),0),"")</f>
        <v/>
      </c>
      <c r="N16" s="54">
        <f>IF(A16&lt;&gt;"",IFERROR(COUNTIF(Agenda!E:E,A16),0),"")</f>
        <v/>
      </c>
      <c r="O16" s="56">
        <f>IF(A16&lt;&gt;"",IFERROR(MAXIFS(Agenda!C:C,Agenda!E:E,A16),""),"")</f>
        <v/>
      </c>
      <c r="P16" s="61" t="n"/>
    </row>
    <row r="17" ht="18" customHeight="1">
      <c r="A17" s="70" t="n"/>
      <c r="B17" s="70" t="n"/>
      <c r="C17" s="68" t="n"/>
      <c r="D17" s="71" t="n"/>
      <c r="E17" s="70" t="n"/>
      <c r="F17" s="74" t="n"/>
      <c r="G17" s="71" t="n"/>
      <c r="H17" s="73" t="n"/>
      <c r="I17" s="68" t="n"/>
      <c r="J17" s="71" t="n"/>
      <c r="K17" s="71" t="n"/>
      <c r="L17" s="71" t="n"/>
      <c r="M17" s="28">
        <f>IF(A17&lt;&gt;"",IFERROR(SUMIF(Agenda!E:E,A17,Agenda!N:N),0),"")</f>
        <v/>
      </c>
      <c r="N17" s="54">
        <f>IF(A17&lt;&gt;"",IFERROR(COUNTIF(Agenda!E:E,A17),0),"")</f>
        <v/>
      </c>
      <c r="O17" s="68">
        <f>IF(A17&lt;&gt;"",IFERROR(MAXIFS(Agenda!C:C,Agenda!E:E,A17),""),"")</f>
        <v/>
      </c>
      <c r="P17" s="73" t="n"/>
    </row>
    <row r="18" ht="18" customHeight="1">
      <c r="A18" s="58" t="n"/>
      <c r="B18" s="58" t="n"/>
      <c r="C18" s="56" t="n"/>
      <c r="D18" s="59" t="n"/>
      <c r="E18" s="58" t="n"/>
      <c r="F18" s="62" t="n"/>
      <c r="G18" s="59" t="n"/>
      <c r="H18" s="61" t="n"/>
      <c r="I18" s="56" t="n"/>
      <c r="J18" s="59" t="n"/>
      <c r="K18" s="59" t="n"/>
      <c r="L18" s="59" t="n"/>
      <c r="M18" s="28">
        <f>IF(A18&lt;&gt;"",IFERROR(SUMIF(Agenda!E:E,A18,Agenda!N:N),0),"")</f>
        <v/>
      </c>
      <c r="N18" s="54">
        <f>IF(A18&lt;&gt;"",IFERROR(COUNTIF(Agenda!E:E,A18),0),"")</f>
        <v/>
      </c>
      <c r="O18" s="56">
        <f>IF(A18&lt;&gt;"",IFERROR(MAXIFS(Agenda!C:C,Agenda!E:E,A18),""),"")</f>
        <v/>
      </c>
      <c r="P18" s="61" t="n"/>
    </row>
    <row r="19" ht="18" customHeight="1">
      <c r="A19" s="70" t="n"/>
      <c r="B19" s="70" t="n"/>
      <c r="C19" s="68" t="n"/>
      <c r="D19" s="71" t="n"/>
      <c r="E19" s="70" t="n"/>
      <c r="F19" s="74" t="n"/>
      <c r="G19" s="71" t="n"/>
      <c r="H19" s="73" t="n"/>
      <c r="I19" s="68" t="n"/>
      <c r="J19" s="71" t="n"/>
      <c r="K19" s="71" t="n"/>
      <c r="L19" s="71" t="n"/>
      <c r="M19" s="28">
        <f>IF(A19&lt;&gt;"",IFERROR(SUMIF(Agenda!E:E,A19,Agenda!N:N),0),"")</f>
        <v/>
      </c>
      <c r="N19" s="54">
        <f>IF(A19&lt;&gt;"",IFERROR(COUNTIF(Agenda!E:E,A19),0),"")</f>
        <v/>
      </c>
      <c r="O19" s="68">
        <f>IF(A19&lt;&gt;"",IFERROR(MAXIFS(Agenda!C:C,Agenda!E:E,A19),""),"")</f>
        <v/>
      </c>
      <c r="P19" s="73" t="n"/>
    </row>
    <row r="20" ht="18" customHeight="1">
      <c r="A20" s="58" t="n"/>
      <c r="B20" s="58" t="n"/>
      <c r="C20" s="56" t="n"/>
      <c r="D20" s="59" t="n"/>
      <c r="E20" s="58" t="n"/>
      <c r="F20" s="62" t="n"/>
      <c r="G20" s="59" t="n"/>
      <c r="H20" s="61" t="n"/>
      <c r="I20" s="56" t="n"/>
      <c r="J20" s="59" t="n"/>
      <c r="K20" s="59" t="n"/>
      <c r="L20" s="59" t="n"/>
      <c r="M20" s="28">
        <f>IF(A20&lt;&gt;"",IFERROR(SUMIF(Agenda!E:E,A20,Agenda!N:N),0),"")</f>
        <v/>
      </c>
      <c r="N20" s="54">
        <f>IF(A20&lt;&gt;"",IFERROR(COUNTIF(Agenda!E:E,A20),0),"")</f>
        <v/>
      </c>
      <c r="O20" s="56">
        <f>IF(A20&lt;&gt;"",IFERROR(MAXIFS(Agenda!C:C,Agenda!E:E,A20),""),"")</f>
        <v/>
      </c>
      <c r="P20" s="61" t="n"/>
    </row>
    <row r="21" ht="18" customHeight="1">
      <c r="A21" s="70" t="n"/>
      <c r="B21" s="70" t="n"/>
      <c r="C21" s="68" t="n"/>
      <c r="D21" s="71" t="n"/>
      <c r="E21" s="70" t="n"/>
      <c r="F21" s="74" t="n"/>
      <c r="G21" s="71" t="n"/>
      <c r="H21" s="73" t="n"/>
      <c r="I21" s="68" t="n"/>
      <c r="J21" s="71" t="n"/>
      <c r="K21" s="71" t="n"/>
      <c r="L21" s="71" t="n"/>
      <c r="M21" s="28">
        <f>IF(A21&lt;&gt;"",IFERROR(SUMIF(Agenda!E:E,A21,Agenda!N:N),0),"")</f>
        <v/>
      </c>
      <c r="N21" s="54">
        <f>IF(A21&lt;&gt;"",IFERROR(COUNTIF(Agenda!E:E,A21),0),"")</f>
        <v/>
      </c>
      <c r="O21" s="68">
        <f>IF(A21&lt;&gt;"",IFERROR(MAXIFS(Agenda!C:C,Agenda!E:E,A21),""),"")</f>
        <v/>
      </c>
      <c r="P21" s="73" t="n"/>
    </row>
    <row r="22" ht="18" customHeight="1">
      <c r="A22" s="58" t="n"/>
      <c r="B22" s="58" t="n"/>
      <c r="C22" s="56" t="n"/>
      <c r="D22" s="59" t="n"/>
      <c r="E22" s="58" t="n"/>
      <c r="F22" s="62" t="n"/>
      <c r="G22" s="59" t="n"/>
      <c r="H22" s="61" t="n"/>
      <c r="I22" s="56" t="n"/>
      <c r="J22" s="59" t="n"/>
      <c r="K22" s="59" t="n"/>
      <c r="L22" s="59" t="n"/>
      <c r="M22" s="28">
        <f>IF(A22&lt;&gt;"",IFERROR(SUMIF(Agenda!E:E,A22,Agenda!N:N),0),"")</f>
        <v/>
      </c>
      <c r="N22" s="54">
        <f>IF(A22&lt;&gt;"",IFERROR(COUNTIF(Agenda!E:E,A22),0),"")</f>
        <v/>
      </c>
      <c r="O22" s="56">
        <f>IF(A22&lt;&gt;"",IFERROR(MAXIFS(Agenda!C:C,Agenda!E:E,A22),""),"")</f>
        <v/>
      </c>
      <c r="P22" s="61" t="n"/>
    </row>
    <row r="23" ht="18" customHeight="1">
      <c r="A23" s="70" t="n"/>
      <c r="B23" s="70" t="n"/>
      <c r="C23" s="68" t="n"/>
      <c r="D23" s="71" t="n"/>
      <c r="E23" s="70" t="n"/>
      <c r="F23" s="74" t="n"/>
      <c r="G23" s="71" t="n"/>
      <c r="H23" s="73" t="n"/>
      <c r="I23" s="68" t="n"/>
      <c r="J23" s="71" t="n"/>
      <c r="K23" s="71" t="n"/>
      <c r="L23" s="71" t="n"/>
      <c r="M23" s="28">
        <f>IF(A23&lt;&gt;"",IFERROR(SUMIF(Agenda!E:E,A23,Agenda!N:N),0),"")</f>
        <v/>
      </c>
      <c r="N23" s="54">
        <f>IF(A23&lt;&gt;"",IFERROR(COUNTIF(Agenda!E:E,A23),0),"")</f>
        <v/>
      </c>
      <c r="O23" s="68">
        <f>IF(A23&lt;&gt;"",IFERROR(MAXIFS(Agenda!C:C,Agenda!E:E,A23),""),"")</f>
        <v/>
      </c>
      <c r="P23" s="73" t="n"/>
    </row>
    <row r="24" ht="18" customHeight="1">
      <c r="A24" s="58" t="n"/>
      <c r="B24" s="58" t="n"/>
      <c r="C24" s="56" t="n"/>
      <c r="D24" s="59" t="n"/>
      <c r="E24" s="58" t="n"/>
      <c r="F24" s="62" t="n"/>
      <c r="G24" s="59" t="n"/>
      <c r="H24" s="61" t="n"/>
      <c r="I24" s="56" t="n"/>
      <c r="J24" s="59" t="n"/>
      <c r="K24" s="59" t="n"/>
      <c r="L24" s="59" t="n"/>
      <c r="M24" s="28">
        <f>IF(A24&lt;&gt;"",IFERROR(SUMIF(Agenda!E:E,A24,Agenda!N:N),0),"")</f>
        <v/>
      </c>
      <c r="N24" s="54">
        <f>IF(A24&lt;&gt;"",IFERROR(COUNTIF(Agenda!E:E,A24),0),"")</f>
        <v/>
      </c>
      <c r="O24" s="56">
        <f>IF(A24&lt;&gt;"",IFERROR(MAXIFS(Agenda!C:C,Agenda!E:E,A24),""),"")</f>
        <v/>
      </c>
      <c r="P24" s="61" t="n"/>
    </row>
    <row r="25" ht="18" customHeight="1">
      <c r="A25" s="70" t="n"/>
      <c r="B25" s="70" t="n"/>
      <c r="C25" s="68" t="n"/>
      <c r="D25" s="71" t="n"/>
      <c r="E25" s="70" t="n"/>
      <c r="F25" s="74" t="n"/>
      <c r="G25" s="71" t="n"/>
      <c r="H25" s="73" t="n"/>
      <c r="I25" s="68" t="n"/>
      <c r="J25" s="71" t="n"/>
      <c r="K25" s="71" t="n"/>
      <c r="L25" s="71" t="n"/>
      <c r="M25" s="28">
        <f>IF(A25&lt;&gt;"",IFERROR(SUMIF(Agenda!E:E,A25,Agenda!N:N),0),"")</f>
        <v/>
      </c>
      <c r="N25" s="54">
        <f>IF(A25&lt;&gt;"",IFERROR(COUNTIF(Agenda!E:E,A25),0),"")</f>
        <v/>
      </c>
      <c r="O25" s="68">
        <f>IF(A25&lt;&gt;"",IFERROR(MAXIFS(Agenda!C:C,Agenda!E:E,A25),""),"")</f>
        <v/>
      </c>
      <c r="P25" s="73" t="n"/>
    </row>
    <row r="26" ht="18" customHeight="1">
      <c r="A26" s="58" t="n"/>
      <c r="B26" s="58" t="n"/>
      <c r="C26" s="56" t="n"/>
      <c r="D26" s="59" t="n"/>
      <c r="E26" s="58" t="n"/>
      <c r="F26" s="62" t="n"/>
      <c r="G26" s="59" t="n"/>
      <c r="H26" s="61" t="n"/>
      <c r="I26" s="56" t="n"/>
      <c r="J26" s="59" t="n"/>
      <c r="K26" s="59" t="n"/>
      <c r="L26" s="59" t="n"/>
      <c r="M26" s="28">
        <f>IF(A26&lt;&gt;"",IFERROR(SUMIF(Agenda!E:E,A26,Agenda!N:N),0),"")</f>
        <v/>
      </c>
      <c r="N26" s="54">
        <f>IF(A26&lt;&gt;"",IFERROR(COUNTIF(Agenda!E:E,A26),0),"")</f>
        <v/>
      </c>
      <c r="O26" s="56">
        <f>IF(A26&lt;&gt;"",IFERROR(MAXIFS(Agenda!C:C,Agenda!E:E,A26),""),"")</f>
        <v/>
      </c>
      <c r="P26" s="61" t="n"/>
    </row>
    <row r="27" ht="18" customHeight="1">
      <c r="A27" s="70" t="n"/>
      <c r="B27" s="70" t="n"/>
      <c r="C27" s="68" t="n"/>
      <c r="D27" s="71" t="n"/>
      <c r="E27" s="70" t="n"/>
      <c r="F27" s="74" t="n"/>
      <c r="G27" s="71" t="n"/>
      <c r="H27" s="73" t="n"/>
      <c r="I27" s="68" t="n"/>
      <c r="J27" s="71" t="n"/>
      <c r="K27" s="71" t="n"/>
      <c r="L27" s="71" t="n"/>
      <c r="M27" s="28">
        <f>IF(A27&lt;&gt;"",IFERROR(SUMIF(Agenda!E:E,A27,Agenda!N:N),0),"")</f>
        <v/>
      </c>
      <c r="N27" s="54">
        <f>IF(A27&lt;&gt;"",IFERROR(COUNTIF(Agenda!E:E,A27),0),"")</f>
        <v/>
      </c>
      <c r="O27" s="68">
        <f>IF(A27&lt;&gt;"",IFERROR(MAXIFS(Agenda!C:C,Agenda!E:E,A27),""),"")</f>
        <v/>
      </c>
      <c r="P27" s="73" t="n"/>
    </row>
    <row r="28" ht="18" customHeight="1">
      <c r="A28" s="58" t="n"/>
      <c r="B28" s="58" t="n"/>
      <c r="C28" s="56" t="n"/>
      <c r="D28" s="59" t="n"/>
      <c r="E28" s="58" t="n"/>
      <c r="F28" s="62" t="n"/>
      <c r="G28" s="59" t="n"/>
      <c r="H28" s="61" t="n"/>
      <c r="I28" s="56" t="n"/>
      <c r="J28" s="59" t="n"/>
      <c r="K28" s="59" t="n"/>
      <c r="L28" s="59" t="n"/>
      <c r="M28" s="28">
        <f>IF(A28&lt;&gt;"",IFERROR(SUMIF(Agenda!E:E,A28,Agenda!N:N),0),"")</f>
        <v/>
      </c>
      <c r="N28" s="54">
        <f>IF(A28&lt;&gt;"",IFERROR(COUNTIF(Agenda!E:E,A28),0),"")</f>
        <v/>
      </c>
      <c r="O28" s="56">
        <f>IF(A28&lt;&gt;"",IFERROR(MAXIFS(Agenda!C:C,Agenda!E:E,A28),""),"")</f>
        <v/>
      </c>
      <c r="P28" s="61" t="n"/>
    </row>
    <row r="29" ht="18" customHeight="1">
      <c r="A29" s="70" t="n"/>
      <c r="B29" s="70" t="n"/>
      <c r="C29" s="68" t="n"/>
      <c r="D29" s="71" t="n"/>
      <c r="E29" s="70" t="n"/>
      <c r="F29" s="74" t="n"/>
      <c r="G29" s="71" t="n"/>
      <c r="H29" s="73" t="n"/>
      <c r="I29" s="68" t="n"/>
      <c r="J29" s="71" t="n"/>
      <c r="K29" s="71" t="n"/>
      <c r="L29" s="71" t="n"/>
      <c r="M29" s="28">
        <f>IF(A29&lt;&gt;"",IFERROR(SUMIF(Agenda!E:E,A29,Agenda!N:N),0),"")</f>
        <v/>
      </c>
      <c r="N29" s="54">
        <f>IF(A29&lt;&gt;"",IFERROR(COUNTIF(Agenda!E:E,A29),0),"")</f>
        <v/>
      </c>
      <c r="O29" s="68">
        <f>IF(A29&lt;&gt;"",IFERROR(MAXIFS(Agenda!C:C,Agenda!E:E,A29),""),"")</f>
        <v/>
      </c>
      <c r="P29" s="73" t="n"/>
    </row>
    <row r="30" ht="18" customHeight="1">
      <c r="A30" s="58" t="n"/>
      <c r="B30" s="58" t="n"/>
      <c r="C30" s="56" t="n"/>
      <c r="D30" s="59" t="n"/>
      <c r="E30" s="58" t="n"/>
      <c r="F30" s="62" t="n"/>
      <c r="G30" s="59" t="n"/>
      <c r="H30" s="61" t="n"/>
      <c r="I30" s="56" t="n"/>
      <c r="J30" s="59" t="n"/>
      <c r="K30" s="59" t="n"/>
      <c r="L30" s="59" t="n"/>
      <c r="M30" s="28">
        <f>IF(A30&lt;&gt;"",IFERROR(SUMIF(Agenda!E:E,A30,Agenda!N:N),0),"")</f>
        <v/>
      </c>
      <c r="N30" s="54">
        <f>IF(A30&lt;&gt;"",IFERROR(COUNTIF(Agenda!E:E,A30),0),"")</f>
        <v/>
      </c>
      <c r="O30" s="56">
        <f>IF(A30&lt;&gt;"",IFERROR(MAXIFS(Agenda!C:C,Agenda!E:E,A30),""),"")</f>
        <v/>
      </c>
      <c r="P30" s="61" t="n"/>
    </row>
    <row r="31" ht="18" customHeight="1">
      <c r="A31" s="70" t="n"/>
      <c r="B31" s="70" t="n"/>
      <c r="C31" s="68" t="n"/>
      <c r="D31" s="71" t="n"/>
      <c r="E31" s="70" t="n"/>
      <c r="F31" s="74" t="n"/>
      <c r="G31" s="71" t="n"/>
      <c r="H31" s="73" t="n"/>
      <c r="I31" s="68" t="n"/>
      <c r="J31" s="71" t="n"/>
      <c r="K31" s="71" t="n"/>
      <c r="L31" s="71" t="n"/>
      <c r="M31" s="28">
        <f>IF(A31&lt;&gt;"",IFERROR(SUMIF(Agenda!E:E,A31,Agenda!N:N),0),"")</f>
        <v/>
      </c>
      <c r="N31" s="54">
        <f>IF(A31&lt;&gt;"",IFERROR(COUNTIF(Agenda!E:E,A31),0),"")</f>
        <v/>
      </c>
      <c r="O31" s="68">
        <f>IF(A31&lt;&gt;"",IFERROR(MAXIFS(Agenda!C:C,Agenda!E:E,A31),""),"")</f>
        <v/>
      </c>
      <c r="P31" s="73" t="n"/>
    </row>
    <row r="32" ht="18" customHeight="1">
      <c r="A32" s="58" t="n"/>
      <c r="B32" s="58" t="n"/>
      <c r="C32" s="56" t="n"/>
      <c r="D32" s="59" t="n"/>
      <c r="E32" s="58" t="n"/>
      <c r="F32" s="62" t="n"/>
      <c r="G32" s="59" t="n"/>
      <c r="H32" s="61" t="n"/>
      <c r="I32" s="56" t="n"/>
      <c r="J32" s="59" t="n"/>
      <c r="K32" s="59" t="n"/>
      <c r="L32" s="59" t="n"/>
      <c r="M32" s="28">
        <f>IF(A32&lt;&gt;"",IFERROR(SUMIF(Agenda!E:E,A32,Agenda!N:N),0),"")</f>
        <v/>
      </c>
      <c r="N32" s="54">
        <f>IF(A32&lt;&gt;"",IFERROR(COUNTIF(Agenda!E:E,A32),0),"")</f>
        <v/>
      </c>
      <c r="O32" s="56">
        <f>IF(A32&lt;&gt;"",IFERROR(MAXIFS(Agenda!C:C,Agenda!E:E,A32),""),"")</f>
        <v/>
      </c>
      <c r="P32" s="61" t="n"/>
    </row>
    <row r="33" ht="18" customHeight="1">
      <c r="A33" s="70" t="n"/>
      <c r="B33" s="70" t="n"/>
      <c r="C33" s="68" t="n"/>
      <c r="D33" s="71" t="n"/>
      <c r="E33" s="70" t="n"/>
      <c r="F33" s="74" t="n"/>
      <c r="G33" s="71" t="n"/>
      <c r="H33" s="73" t="n"/>
      <c r="I33" s="68" t="n"/>
      <c r="J33" s="71" t="n"/>
      <c r="K33" s="71" t="n"/>
      <c r="L33" s="71" t="n"/>
      <c r="M33" s="28">
        <f>IF(A33&lt;&gt;"",IFERROR(SUMIF(Agenda!E:E,A33,Agenda!N:N),0),"")</f>
        <v/>
      </c>
      <c r="N33" s="54">
        <f>IF(A33&lt;&gt;"",IFERROR(COUNTIF(Agenda!E:E,A33),0),"")</f>
        <v/>
      </c>
      <c r="O33" s="68">
        <f>IF(A33&lt;&gt;"",IFERROR(MAXIFS(Agenda!C:C,Agenda!E:E,A33),""),"")</f>
        <v/>
      </c>
      <c r="P33" s="73" t="n"/>
    </row>
    <row r="34" ht="18" customHeight="1">
      <c r="A34" s="58" t="n"/>
      <c r="B34" s="58" t="n"/>
      <c r="C34" s="56" t="n"/>
      <c r="D34" s="59" t="n"/>
      <c r="E34" s="58" t="n"/>
      <c r="F34" s="62" t="n"/>
      <c r="G34" s="59" t="n"/>
      <c r="H34" s="61" t="n"/>
      <c r="I34" s="56" t="n"/>
      <c r="J34" s="59" t="n"/>
      <c r="K34" s="59" t="n"/>
      <c r="L34" s="59" t="n"/>
      <c r="M34" s="28">
        <f>IF(A34&lt;&gt;"",IFERROR(SUMIF(Agenda!E:E,A34,Agenda!N:N),0),"")</f>
        <v/>
      </c>
      <c r="N34" s="54">
        <f>IF(A34&lt;&gt;"",IFERROR(COUNTIF(Agenda!E:E,A34),0),"")</f>
        <v/>
      </c>
      <c r="O34" s="56">
        <f>IF(A34&lt;&gt;"",IFERROR(MAXIFS(Agenda!C:C,Agenda!E:E,A34),""),"")</f>
        <v/>
      </c>
      <c r="P34" s="61" t="n"/>
    </row>
    <row r="35" ht="18" customHeight="1">
      <c r="A35" s="70" t="n"/>
      <c r="B35" s="70" t="n"/>
      <c r="C35" s="68" t="n"/>
      <c r="D35" s="71" t="n"/>
      <c r="E35" s="70" t="n"/>
      <c r="F35" s="74" t="n"/>
      <c r="G35" s="71" t="n"/>
      <c r="H35" s="73" t="n"/>
      <c r="I35" s="68" t="n"/>
      <c r="J35" s="71" t="n"/>
      <c r="K35" s="71" t="n"/>
      <c r="L35" s="71" t="n"/>
      <c r="M35" s="28">
        <f>IF(A35&lt;&gt;"",IFERROR(SUMIF(Agenda!E:E,A35,Agenda!N:N),0),"")</f>
        <v/>
      </c>
      <c r="N35" s="54">
        <f>IF(A35&lt;&gt;"",IFERROR(COUNTIF(Agenda!E:E,A35),0),"")</f>
        <v/>
      </c>
      <c r="O35" s="68">
        <f>IF(A35&lt;&gt;"",IFERROR(MAXIFS(Agenda!C:C,Agenda!E:E,A35),""),"")</f>
        <v/>
      </c>
      <c r="P35" s="73" t="n"/>
    </row>
    <row r="36" ht="18" customHeight="1">
      <c r="A36" s="58" t="n"/>
      <c r="B36" s="58" t="n"/>
      <c r="C36" s="56" t="n"/>
      <c r="D36" s="59" t="n"/>
      <c r="E36" s="58" t="n"/>
      <c r="F36" s="62" t="n"/>
      <c r="G36" s="59" t="n"/>
      <c r="H36" s="61" t="n"/>
      <c r="I36" s="56" t="n"/>
      <c r="J36" s="59" t="n"/>
      <c r="K36" s="59" t="n"/>
      <c r="L36" s="59" t="n"/>
      <c r="M36" s="28">
        <f>IF(A36&lt;&gt;"",IFERROR(SUMIF(Agenda!E:E,A36,Agenda!N:N),0),"")</f>
        <v/>
      </c>
      <c r="N36" s="54">
        <f>IF(A36&lt;&gt;"",IFERROR(COUNTIF(Agenda!E:E,A36),0),"")</f>
        <v/>
      </c>
      <c r="O36" s="56">
        <f>IF(A36&lt;&gt;"",IFERROR(MAXIFS(Agenda!C:C,Agenda!E:E,A36),""),"")</f>
        <v/>
      </c>
      <c r="P36" s="61" t="n"/>
    </row>
    <row r="37" ht="18" customHeight="1">
      <c r="A37" s="70" t="n"/>
      <c r="B37" s="70" t="n"/>
      <c r="C37" s="68" t="n"/>
      <c r="D37" s="71" t="n"/>
      <c r="E37" s="70" t="n"/>
      <c r="F37" s="74" t="n"/>
      <c r="G37" s="71" t="n"/>
      <c r="H37" s="73" t="n"/>
      <c r="I37" s="68" t="n"/>
      <c r="J37" s="71" t="n"/>
      <c r="K37" s="71" t="n"/>
      <c r="L37" s="71" t="n"/>
      <c r="M37" s="28">
        <f>IF(A37&lt;&gt;"",IFERROR(SUMIF(Agenda!E:E,A37,Agenda!N:N),0),"")</f>
        <v/>
      </c>
      <c r="N37" s="54">
        <f>IF(A37&lt;&gt;"",IFERROR(COUNTIF(Agenda!E:E,A37),0),"")</f>
        <v/>
      </c>
      <c r="O37" s="68">
        <f>IF(A37&lt;&gt;"",IFERROR(MAXIFS(Agenda!C:C,Agenda!E:E,A37),""),"")</f>
        <v/>
      </c>
      <c r="P37" s="73" t="n"/>
    </row>
    <row r="38" ht="18" customHeight="1">
      <c r="A38" s="58" t="n"/>
      <c r="B38" s="58" t="n"/>
      <c r="C38" s="56" t="n"/>
      <c r="D38" s="59" t="n"/>
      <c r="E38" s="58" t="n"/>
      <c r="F38" s="62" t="n"/>
      <c r="G38" s="59" t="n"/>
      <c r="H38" s="61" t="n"/>
      <c r="I38" s="56" t="n"/>
      <c r="J38" s="59" t="n"/>
      <c r="K38" s="59" t="n"/>
      <c r="L38" s="59" t="n"/>
      <c r="M38" s="28">
        <f>IF(A38&lt;&gt;"",IFERROR(SUMIF(Agenda!E:E,A38,Agenda!N:N),0),"")</f>
        <v/>
      </c>
      <c r="N38" s="54">
        <f>IF(A38&lt;&gt;"",IFERROR(COUNTIF(Agenda!E:E,A38),0),"")</f>
        <v/>
      </c>
      <c r="O38" s="56">
        <f>IF(A38&lt;&gt;"",IFERROR(MAXIFS(Agenda!C:C,Agenda!E:E,A38),""),"")</f>
        <v/>
      </c>
      <c r="P38" s="61" t="n"/>
    </row>
    <row r="39" ht="18" customHeight="1">
      <c r="A39" s="70" t="n"/>
      <c r="B39" s="70" t="n"/>
      <c r="C39" s="68" t="n"/>
      <c r="D39" s="71" t="n"/>
      <c r="E39" s="70" t="n"/>
      <c r="F39" s="74" t="n"/>
      <c r="G39" s="71" t="n"/>
      <c r="H39" s="73" t="n"/>
      <c r="I39" s="68" t="n"/>
      <c r="J39" s="71" t="n"/>
      <c r="K39" s="71" t="n"/>
      <c r="L39" s="71" t="n"/>
      <c r="M39" s="28">
        <f>IF(A39&lt;&gt;"",IFERROR(SUMIF(Agenda!E:E,A39,Agenda!N:N),0),"")</f>
        <v/>
      </c>
      <c r="N39" s="54">
        <f>IF(A39&lt;&gt;"",IFERROR(COUNTIF(Agenda!E:E,A39),0),"")</f>
        <v/>
      </c>
      <c r="O39" s="68">
        <f>IF(A39&lt;&gt;"",IFERROR(MAXIFS(Agenda!C:C,Agenda!E:E,A39),""),"")</f>
        <v/>
      </c>
      <c r="P39" s="73" t="n"/>
    </row>
    <row r="40" ht="18" customHeight="1">
      <c r="A40" s="58" t="n"/>
      <c r="B40" s="58" t="n"/>
      <c r="C40" s="56" t="n"/>
      <c r="D40" s="59" t="n"/>
      <c r="E40" s="58" t="n"/>
      <c r="F40" s="62" t="n"/>
      <c r="G40" s="59" t="n"/>
      <c r="H40" s="61" t="n"/>
      <c r="I40" s="56" t="n"/>
      <c r="J40" s="59" t="n"/>
      <c r="K40" s="59" t="n"/>
      <c r="L40" s="59" t="n"/>
      <c r="M40" s="28">
        <f>IF(A40&lt;&gt;"",IFERROR(SUMIF(Agenda!E:E,A40,Agenda!N:N),0),"")</f>
        <v/>
      </c>
      <c r="N40" s="54">
        <f>IF(A40&lt;&gt;"",IFERROR(COUNTIF(Agenda!E:E,A40),0),"")</f>
        <v/>
      </c>
      <c r="O40" s="56">
        <f>IF(A40&lt;&gt;"",IFERROR(MAXIFS(Agenda!C:C,Agenda!E:E,A40),""),"")</f>
        <v/>
      </c>
      <c r="P40" s="61" t="n"/>
    </row>
    <row r="41" ht="18" customHeight="1">
      <c r="A41" s="70" t="n"/>
      <c r="B41" s="70" t="n"/>
      <c r="C41" s="68" t="n"/>
      <c r="D41" s="71" t="n"/>
      <c r="E41" s="70" t="n"/>
      <c r="F41" s="74" t="n"/>
      <c r="G41" s="71" t="n"/>
      <c r="H41" s="73" t="n"/>
      <c r="I41" s="68" t="n"/>
      <c r="J41" s="71" t="n"/>
      <c r="K41" s="71" t="n"/>
      <c r="L41" s="71" t="n"/>
      <c r="M41" s="28">
        <f>IF(A41&lt;&gt;"",IFERROR(SUMIF(Agenda!E:E,A41,Agenda!N:N),0),"")</f>
        <v/>
      </c>
      <c r="N41" s="54">
        <f>IF(A41&lt;&gt;"",IFERROR(COUNTIF(Agenda!E:E,A41),0),"")</f>
        <v/>
      </c>
      <c r="O41" s="68">
        <f>IF(A41&lt;&gt;"",IFERROR(MAXIFS(Agenda!C:C,Agenda!E:E,A41),""),"")</f>
        <v/>
      </c>
      <c r="P41" s="73" t="n"/>
    </row>
    <row r="42" ht="18" customHeight="1">
      <c r="A42" s="58" t="n"/>
      <c r="B42" s="58" t="n"/>
      <c r="C42" s="56" t="n"/>
      <c r="D42" s="59" t="n"/>
      <c r="E42" s="58" t="n"/>
      <c r="F42" s="62" t="n"/>
      <c r="G42" s="59" t="n"/>
      <c r="H42" s="61" t="n"/>
      <c r="I42" s="56" t="n"/>
      <c r="J42" s="59" t="n"/>
      <c r="K42" s="59" t="n"/>
      <c r="L42" s="59" t="n"/>
      <c r="M42" s="28">
        <f>IF(A42&lt;&gt;"",IFERROR(SUMIF(Agenda!E:E,A42,Agenda!N:N),0),"")</f>
        <v/>
      </c>
      <c r="N42" s="54">
        <f>IF(A42&lt;&gt;"",IFERROR(COUNTIF(Agenda!E:E,A42),0),"")</f>
        <v/>
      </c>
      <c r="O42" s="56">
        <f>IF(A42&lt;&gt;"",IFERROR(MAXIFS(Agenda!C:C,Agenda!E:E,A42),""),"")</f>
        <v/>
      </c>
      <c r="P42" s="61" t="n"/>
    </row>
    <row r="43" ht="18" customHeight="1">
      <c r="A43" s="70" t="n"/>
      <c r="B43" s="70" t="n"/>
      <c r="C43" s="68" t="n"/>
      <c r="D43" s="71" t="n"/>
      <c r="E43" s="70" t="n"/>
      <c r="F43" s="74" t="n"/>
      <c r="G43" s="71" t="n"/>
      <c r="H43" s="73" t="n"/>
      <c r="I43" s="68" t="n"/>
      <c r="J43" s="71" t="n"/>
      <c r="K43" s="71" t="n"/>
      <c r="L43" s="71" t="n"/>
      <c r="M43" s="28">
        <f>IF(A43&lt;&gt;"",IFERROR(SUMIF(Agenda!E:E,A43,Agenda!N:N),0),"")</f>
        <v/>
      </c>
      <c r="N43" s="54">
        <f>IF(A43&lt;&gt;"",IFERROR(COUNTIF(Agenda!E:E,A43),0),"")</f>
        <v/>
      </c>
      <c r="O43" s="68">
        <f>IF(A43&lt;&gt;"",IFERROR(MAXIFS(Agenda!C:C,Agenda!E:E,A43),""),"")</f>
        <v/>
      </c>
      <c r="P43" s="73" t="n"/>
    </row>
    <row r="44" ht="18" customHeight="1">
      <c r="A44" s="58" t="n"/>
      <c r="B44" s="58" t="n"/>
      <c r="C44" s="56" t="n"/>
      <c r="D44" s="59" t="n"/>
      <c r="E44" s="58" t="n"/>
      <c r="F44" s="62" t="n"/>
      <c r="G44" s="59" t="n"/>
      <c r="H44" s="61" t="n"/>
      <c r="I44" s="56" t="n"/>
      <c r="J44" s="59" t="n"/>
      <c r="K44" s="59" t="n"/>
      <c r="L44" s="59" t="n"/>
      <c r="M44" s="28">
        <f>IF(A44&lt;&gt;"",IFERROR(SUMIF(Agenda!E:E,A44,Agenda!N:N),0),"")</f>
        <v/>
      </c>
      <c r="N44" s="54">
        <f>IF(A44&lt;&gt;"",IFERROR(COUNTIF(Agenda!E:E,A44),0),"")</f>
        <v/>
      </c>
      <c r="O44" s="56">
        <f>IF(A44&lt;&gt;"",IFERROR(MAXIFS(Agenda!C:C,Agenda!E:E,A44),""),"")</f>
        <v/>
      </c>
      <c r="P44" s="61" t="n"/>
    </row>
    <row r="45" ht="18" customHeight="1">
      <c r="A45" s="70" t="n"/>
      <c r="B45" s="70" t="n"/>
      <c r="C45" s="68" t="n"/>
      <c r="D45" s="71" t="n"/>
      <c r="E45" s="70" t="n"/>
      <c r="F45" s="74" t="n"/>
      <c r="G45" s="71" t="n"/>
      <c r="H45" s="73" t="n"/>
      <c r="I45" s="68" t="n"/>
      <c r="J45" s="71" t="n"/>
      <c r="K45" s="71" t="n"/>
      <c r="L45" s="71" t="n"/>
      <c r="M45" s="28">
        <f>IF(A45&lt;&gt;"",IFERROR(SUMIF(Agenda!E:E,A45,Agenda!N:N),0),"")</f>
        <v/>
      </c>
      <c r="N45" s="54">
        <f>IF(A45&lt;&gt;"",IFERROR(COUNTIF(Agenda!E:E,A45),0),"")</f>
        <v/>
      </c>
      <c r="O45" s="68">
        <f>IF(A45&lt;&gt;"",IFERROR(MAXIFS(Agenda!C:C,Agenda!E:E,A45),""),"")</f>
        <v/>
      </c>
      <c r="P45" s="73" t="n"/>
    </row>
    <row r="46" ht="18" customHeight="1">
      <c r="A46" s="58" t="n"/>
      <c r="B46" s="58" t="n"/>
      <c r="C46" s="56" t="n"/>
      <c r="D46" s="59" t="n"/>
      <c r="E46" s="58" t="n"/>
      <c r="F46" s="62" t="n"/>
      <c r="G46" s="59" t="n"/>
      <c r="H46" s="61" t="n"/>
      <c r="I46" s="56" t="n"/>
      <c r="J46" s="59" t="n"/>
      <c r="K46" s="59" t="n"/>
      <c r="L46" s="59" t="n"/>
      <c r="M46" s="28">
        <f>IF(A46&lt;&gt;"",IFERROR(SUMIF(Agenda!E:E,A46,Agenda!N:N),0),"")</f>
        <v/>
      </c>
      <c r="N46" s="54">
        <f>IF(A46&lt;&gt;"",IFERROR(COUNTIF(Agenda!E:E,A46),0),"")</f>
        <v/>
      </c>
      <c r="O46" s="56">
        <f>IF(A46&lt;&gt;"",IFERROR(MAXIFS(Agenda!C:C,Agenda!E:E,A46),""),"")</f>
        <v/>
      </c>
      <c r="P46" s="61" t="n"/>
    </row>
    <row r="47" ht="18" customHeight="1">
      <c r="A47" s="70" t="n"/>
      <c r="B47" s="70" t="n"/>
      <c r="C47" s="68" t="n"/>
      <c r="D47" s="71" t="n"/>
      <c r="E47" s="70" t="n"/>
      <c r="F47" s="74" t="n"/>
      <c r="G47" s="71" t="n"/>
      <c r="H47" s="73" t="n"/>
      <c r="I47" s="68" t="n"/>
      <c r="J47" s="71" t="n"/>
      <c r="K47" s="71" t="n"/>
      <c r="L47" s="71" t="n"/>
      <c r="M47" s="28">
        <f>IF(A47&lt;&gt;"",IFERROR(SUMIF(Agenda!E:E,A47,Agenda!N:N),0),"")</f>
        <v/>
      </c>
      <c r="N47" s="54">
        <f>IF(A47&lt;&gt;"",IFERROR(COUNTIF(Agenda!E:E,A47),0),"")</f>
        <v/>
      </c>
      <c r="O47" s="68">
        <f>IF(A47&lt;&gt;"",IFERROR(MAXIFS(Agenda!C:C,Agenda!E:E,A47),""),"")</f>
        <v/>
      </c>
      <c r="P47" s="73" t="n"/>
    </row>
    <row r="48" ht="18" customHeight="1">
      <c r="A48" s="58" t="n"/>
      <c r="B48" s="58" t="n"/>
      <c r="C48" s="56" t="n"/>
      <c r="D48" s="59" t="n"/>
      <c r="E48" s="58" t="n"/>
      <c r="F48" s="62" t="n"/>
      <c r="G48" s="59" t="n"/>
      <c r="H48" s="61" t="n"/>
      <c r="I48" s="56" t="n"/>
      <c r="J48" s="59" t="n"/>
      <c r="K48" s="59" t="n"/>
      <c r="L48" s="59" t="n"/>
      <c r="M48" s="28">
        <f>IF(A48&lt;&gt;"",IFERROR(SUMIF(Agenda!E:E,A48,Agenda!N:N),0),"")</f>
        <v/>
      </c>
      <c r="N48" s="54">
        <f>IF(A48&lt;&gt;"",IFERROR(COUNTIF(Agenda!E:E,A48),0),"")</f>
        <v/>
      </c>
      <c r="O48" s="56">
        <f>IF(A48&lt;&gt;"",IFERROR(MAXIFS(Agenda!C:C,Agenda!E:E,A48),""),"")</f>
        <v/>
      </c>
      <c r="P48" s="61" t="n"/>
    </row>
    <row r="49" ht="18" customHeight="1">
      <c r="A49" s="70" t="n"/>
      <c r="B49" s="70" t="n"/>
      <c r="C49" s="68" t="n"/>
      <c r="D49" s="71" t="n"/>
      <c r="E49" s="70" t="n"/>
      <c r="F49" s="74" t="n"/>
      <c r="G49" s="71" t="n"/>
      <c r="H49" s="73" t="n"/>
      <c r="I49" s="68" t="n"/>
      <c r="J49" s="71" t="n"/>
      <c r="K49" s="71" t="n"/>
      <c r="L49" s="71" t="n"/>
      <c r="M49" s="28">
        <f>IF(A49&lt;&gt;"",IFERROR(SUMIF(Agenda!E:E,A49,Agenda!N:N),0),"")</f>
        <v/>
      </c>
      <c r="N49" s="54">
        <f>IF(A49&lt;&gt;"",IFERROR(COUNTIF(Agenda!E:E,A49),0),"")</f>
        <v/>
      </c>
      <c r="O49" s="68">
        <f>IF(A49&lt;&gt;"",IFERROR(MAXIFS(Agenda!C:C,Agenda!E:E,A49),""),"")</f>
        <v/>
      </c>
      <c r="P49" s="73" t="n"/>
    </row>
    <row r="50" ht="18" customHeight="1">
      <c r="A50" s="58" t="n"/>
      <c r="B50" s="58" t="n"/>
      <c r="C50" s="56" t="n"/>
      <c r="D50" s="59" t="n"/>
      <c r="E50" s="58" t="n"/>
      <c r="F50" s="62" t="n"/>
      <c r="G50" s="59" t="n"/>
      <c r="H50" s="61" t="n"/>
      <c r="I50" s="56" t="n"/>
      <c r="J50" s="59" t="n"/>
      <c r="K50" s="59" t="n"/>
      <c r="L50" s="59" t="n"/>
      <c r="M50" s="28">
        <f>IF(A50&lt;&gt;"",IFERROR(SUMIF(Agenda!E:E,A50,Agenda!N:N),0),"")</f>
        <v/>
      </c>
      <c r="N50" s="54">
        <f>IF(A50&lt;&gt;"",IFERROR(COUNTIF(Agenda!E:E,A50),0),"")</f>
        <v/>
      </c>
      <c r="O50" s="56">
        <f>IF(A50&lt;&gt;"",IFERROR(MAXIFS(Agenda!C:C,Agenda!E:E,A50),""),"")</f>
        <v/>
      </c>
      <c r="P50" s="61" t="n"/>
    </row>
    <row r="51" ht="18" customHeight="1">
      <c r="A51" s="70" t="n"/>
      <c r="B51" s="70" t="n"/>
      <c r="C51" s="68" t="n"/>
      <c r="D51" s="71" t="n"/>
      <c r="E51" s="70" t="n"/>
      <c r="F51" s="74" t="n"/>
      <c r="G51" s="71" t="n"/>
      <c r="H51" s="73" t="n"/>
      <c r="I51" s="68" t="n"/>
      <c r="J51" s="71" t="n"/>
      <c r="K51" s="71" t="n"/>
      <c r="L51" s="71" t="n"/>
      <c r="M51" s="28">
        <f>IF(A51&lt;&gt;"",IFERROR(SUMIF(Agenda!E:E,A51,Agenda!N:N),0),"")</f>
        <v/>
      </c>
      <c r="N51" s="54">
        <f>IF(A51&lt;&gt;"",IFERROR(COUNTIF(Agenda!E:E,A51),0),"")</f>
        <v/>
      </c>
      <c r="O51" s="68">
        <f>IF(A51&lt;&gt;"",IFERROR(MAXIFS(Agenda!C:C,Agenda!E:E,A51),""),"")</f>
        <v/>
      </c>
      <c r="P51" s="73" t="n"/>
    </row>
    <row r="52" ht="18" customHeight="1">
      <c r="A52" s="58" t="n"/>
      <c r="B52" s="58" t="n"/>
      <c r="C52" s="56" t="n"/>
      <c r="D52" s="59" t="n"/>
      <c r="E52" s="58" t="n"/>
      <c r="F52" s="62" t="n"/>
      <c r="G52" s="59" t="n"/>
      <c r="H52" s="61" t="n"/>
      <c r="I52" s="56" t="n"/>
      <c r="J52" s="59" t="n"/>
      <c r="K52" s="59" t="n"/>
      <c r="L52" s="59" t="n"/>
      <c r="M52" s="28">
        <f>IF(A52&lt;&gt;"",IFERROR(SUMIF(Agenda!E:E,A52,Agenda!N:N),0),"")</f>
        <v/>
      </c>
      <c r="N52" s="54">
        <f>IF(A52&lt;&gt;"",IFERROR(COUNTIF(Agenda!E:E,A52),0),"")</f>
        <v/>
      </c>
      <c r="O52" s="56">
        <f>IF(A52&lt;&gt;"",IFERROR(MAXIFS(Agenda!C:C,Agenda!E:E,A52),""),"")</f>
        <v/>
      </c>
      <c r="P52" s="61" t="n"/>
    </row>
    <row r="53" ht="18" customHeight="1">
      <c r="A53" s="70" t="n"/>
      <c r="B53" s="70" t="n"/>
      <c r="C53" s="68" t="n"/>
      <c r="D53" s="71" t="n"/>
      <c r="E53" s="70" t="n"/>
      <c r="F53" s="74" t="n"/>
      <c r="G53" s="71" t="n"/>
      <c r="H53" s="73" t="n"/>
      <c r="I53" s="68" t="n"/>
      <c r="J53" s="71" t="n"/>
      <c r="K53" s="71" t="n"/>
      <c r="L53" s="71" t="n"/>
      <c r="M53" s="28">
        <f>IF(A53&lt;&gt;"",IFERROR(SUMIF(Agenda!E:E,A53,Agenda!N:N),0),"")</f>
        <v/>
      </c>
      <c r="N53" s="54">
        <f>IF(A53&lt;&gt;"",IFERROR(COUNTIF(Agenda!E:E,A53),0),"")</f>
        <v/>
      </c>
      <c r="O53" s="68">
        <f>IF(A53&lt;&gt;"",IFERROR(MAXIFS(Agenda!C:C,Agenda!E:E,A53),""),"")</f>
        <v/>
      </c>
      <c r="P53" s="73" t="n"/>
    </row>
    <row r="54" ht="18" customHeight="1">
      <c r="A54" s="58" t="n"/>
      <c r="B54" s="58" t="n"/>
      <c r="C54" s="56" t="n"/>
      <c r="D54" s="59" t="n"/>
      <c r="E54" s="58" t="n"/>
      <c r="F54" s="62" t="n"/>
      <c r="G54" s="59" t="n"/>
      <c r="H54" s="61" t="n"/>
      <c r="I54" s="56" t="n"/>
      <c r="J54" s="59" t="n"/>
      <c r="K54" s="59" t="n"/>
      <c r="L54" s="59" t="n"/>
      <c r="M54" s="28">
        <f>IF(A54&lt;&gt;"",IFERROR(SUMIF(Agenda!E:E,A54,Agenda!N:N),0),"")</f>
        <v/>
      </c>
      <c r="N54" s="54">
        <f>IF(A54&lt;&gt;"",IFERROR(COUNTIF(Agenda!E:E,A54),0),"")</f>
        <v/>
      </c>
      <c r="O54" s="56">
        <f>IF(A54&lt;&gt;"",IFERROR(MAXIFS(Agenda!C:C,Agenda!E:E,A54),""),"")</f>
        <v/>
      </c>
      <c r="P54" s="61" t="n"/>
    </row>
    <row r="55" ht="18" customHeight="1">
      <c r="A55" s="70" t="n"/>
      <c r="B55" s="70" t="n"/>
      <c r="C55" s="68" t="n"/>
      <c r="D55" s="71" t="n"/>
      <c r="E55" s="70" t="n"/>
      <c r="F55" s="74" t="n"/>
      <c r="G55" s="71" t="n"/>
      <c r="H55" s="73" t="n"/>
      <c r="I55" s="68" t="n"/>
      <c r="J55" s="71" t="n"/>
      <c r="K55" s="71" t="n"/>
      <c r="L55" s="71" t="n"/>
      <c r="M55" s="28">
        <f>IF(A55&lt;&gt;"",IFERROR(SUMIF(Agenda!E:E,A55,Agenda!N:N),0),"")</f>
        <v/>
      </c>
      <c r="N55" s="54">
        <f>IF(A55&lt;&gt;"",IFERROR(COUNTIF(Agenda!E:E,A55),0),"")</f>
        <v/>
      </c>
      <c r="O55" s="68">
        <f>IF(A55&lt;&gt;"",IFERROR(MAXIFS(Agenda!C:C,Agenda!E:E,A55),""),"")</f>
        <v/>
      </c>
      <c r="P55" s="73" t="n"/>
    </row>
    <row r="56" ht="18" customHeight="1">
      <c r="A56" s="58" t="n"/>
      <c r="B56" s="58" t="n"/>
      <c r="C56" s="56" t="n"/>
      <c r="D56" s="59" t="n"/>
      <c r="E56" s="58" t="n"/>
      <c r="F56" s="62" t="n"/>
      <c r="G56" s="59" t="n"/>
      <c r="H56" s="61" t="n"/>
      <c r="I56" s="56" t="n"/>
      <c r="J56" s="59" t="n"/>
      <c r="K56" s="59" t="n"/>
      <c r="L56" s="59" t="n"/>
      <c r="M56" s="28">
        <f>IF(A56&lt;&gt;"",IFERROR(SUMIF(Agenda!E:E,A56,Agenda!N:N),0),"")</f>
        <v/>
      </c>
      <c r="N56" s="54">
        <f>IF(A56&lt;&gt;"",IFERROR(COUNTIF(Agenda!E:E,A56),0),"")</f>
        <v/>
      </c>
      <c r="O56" s="56">
        <f>IF(A56&lt;&gt;"",IFERROR(MAXIFS(Agenda!C:C,Agenda!E:E,A56),""),"")</f>
        <v/>
      </c>
      <c r="P56" s="61" t="n"/>
    </row>
    <row r="57" ht="18" customHeight="1">
      <c r="A57" s="70" t="n"/>
      <c r="B57" s="70" t="n"/>
      <c r="C57" s="68" t="n"/>
      <c r="D57" s="71" t="n"/>
      <c r="E57" s="70" t="n"/>
      <c r="F57" s="74" t="n"/>
      <c r="G57" s="71" t="n"/>
      <c r="H57" s="73" t="n"/>
      <c r="I57" s="68" t="n"/>
      <c r="J57" s="71" t="n"/>
      <c r="K57" s="71" t="n"/>
      <c r="L57" s="71" t="n"/>
      <c r="M57" s="28">
        <f>IF(A57&lt;&gt;"",IFERROR(SUMIF(Agenda!E:E,A57,Agenda!N:N),0),"")</f>
        <v/>
      </c>
      <c r="N57" s="54">
        <f>IF(A57&lt;&gt;"",IFERROR(COUNTIF(Agenda!E:E,A57),0),"")</f>
        <v/>
      </c>
      <c r="O57" s="68">
        <f>IF(A57&lt;&gt;"",IFERROR(MAXIFS(Agenda!C:C,Agenda!E:E,A57),""),"")</f>
        <v/>
      </c>
      <c r="P57" s="73" t="n"/>
    </row>
    <row r="58" ht="18" customHeight="1">
      <c r="A58" s="58" t="n"/>
      <c r="B58" s="58" t="n"/>
      <c r="C58" s="56" t="n"/>
      <c r="D58" s="59" t="n"/>
      <c r="E58" s="58" t="n"/>
      <c r="F58" s="62" t="n"/>
      <c r="G58" s="59" t="n"/>
      <c r="H58" s="61" t="n"/>
      <c r="I58" s="56" t="n"/>
      <c r="J58" s="59" t="n"/>
      <c r="K58" s="59" t="n"/>
      <c r="L58" s="59" t="n"/>
      <c r="M58" s="28">
        <f>IF(A58&lt;&gt;"",IFERROR(SUMIF(Agenda!E:E,A58,Agenda!N:N),0),"")</f>
        <v/>
      </c>
      <c r="N58" s="54">
        <f>IF(A58&lt;&gt;"",IFERROR(COUNTIF(Agenda!E:E,A58),0),"")</f>
        <v/>
      </c>
      <c r="O58" s="56">
        <f>IF(A58&lt;&gt;"",IFERROR(MAXIFS(Agenda!C:C,Agenda!E:E,A58),""),"")</f>
        <v/>
      </c>
      <c r="P58" s="61" t="n"/>
    </row>
    <row r="59" ht="18" customHeight="1">
      <c r="A59" s="70" t="n"/>
      <c r="B59" s="70" t="n"/>
      <c r="C59" s="68" t="n"/>
      <c r="D59" s="71" t="n"/>
      <c r="E59" s="70" t="n"/>
      <c r="F59" s="74" t="n"/>
      <c r="G59" s="71" t="n"/>
      <c r="H59" s="73" t="n"/>
      <c r="I59" s="68" t="n"/>
      <c r="J59" s="71" t="n"/>
      <c r="K59" s="71" t="n"/>
      <c r="L59" s="71" t="n"/>
      <c r="M59" s="28">
        <f>IF(A59&lt;&gt;"",IFERROR(SUMIF(Agenda!E:E,A59,Agenda!N:N),0),"")</f>
        <v/>
      </c>
      <c r="N59" s="54">
        <f>IF(A59&lt;&gt;"",IFERROR(COUNTIF(Agenda!E:E,A59),0),"")</f>
        <v/>
      </c>
      <c r="O59" s="68">
        <f>IF(A59&lt;&gt;"",IFERROR(MAXIFS(Agenda!C:C,Agenda!E:E,A59),""),"")</f>
        <v/>
      </c>
      <c r="P59" s="73" t="n"/>
    </row>
    <row r="60" ht="18" customHeight="1">
      <c r="A60" s="58" t="n"/>
      <c r="B60" s="58" t="n"/>
      <c r="C60" s="56" t="n"/>
      <c r="D60" s="59" t="n"/>
      <c r="E60" s="58" t="n"/>
      <c r="F60" s="62" t="n"/>
      <c r="G60" s="59" t="n"/>
      <c r="H60" s="61" t="n"/>
      <c r="I60" s="56" t="n"/>
      <c r="J60" s="59" t="n"/>
      <c r="K60" s="59" t="n"/>
      <c r="L60" s="59" t="n"/>
      <c r="M60" s="28">
        <f>IF(A60&lt;&gt;"",IFERROR(SUMIF(Agenda!E:E,A60,Agenda!N:N),0),"")</f>
        <v/>
      </c>
      <c r="N60" s="54">
        <f>IF(A60&lt;&gt;"",IFERROR(COUNTIF(Agenda!E:E,A60),0),"")</f>
        <v/>
      </c>
      <c r="O60" s="56">
        <f>IF(A60&lt;&gt;"",IFERROR(MAXIFS(Agenda!C:C,Agenda!E:E,A60),""),"")</f>
        <v/>
      </c>
      <c r="P60" s="61" t="n"/>
    </row>
    <row r="61" ht="18" customHeight="1">
      <c r="A61" s="70" t="n"/>
      <c r="B61" s="70" t="n"/>
      <c r="C61" s="68" t="n"/>
      <c r="D61" s="71" t="n"/>
      <c r="E61" s="70" t="n"/>
      <c r="F61" s="74" t="n"/>
      <c r="G61" s="71" t="n"/>
      <c r="H61" s="73" t="n"/>
      <c r="I61" s="68" t="n"/>
      <c r="J61" s="71" t="n"/>
      <c r="K61" s="71" t="n"/>
      <c r="L61" s="71" t="n"/>
      <c r="M61" s="28">
        <f>IF(A61&lt;&gt;"",IFERROR(SUMIF(Agenda!E:E,A61,Agenda!N:N),0),"")</f>
        <v/>
      </c>
      <c r="N61" s="54">
        <f>IF(A61&lt;&gt;"",IFERROR(COUNTIF(Agenda!E:E,A61),0),"")</f>
        <v/>
      </c>
      <c r="O61" s="68">
        <f>IF(A61&lt;&gt;"",IFERROR(MAXIFS(Agenda!C:C,Agenda!E:E,A61),""),"")</f>
        <v/>
      </c>
      <c r="P61" s="73" t="n"/>
    </row>
    <row r="62" ht="18" customHeight="1">
      <c r="A62" s="58" t="n"/>
      <c r="B62" s="58" t="n"/>
      <c r="C62" s="56" t="n"/>
      <c r="D62" s="59" t="n"/>
      <c r="E62" s="58" t="n"/>
      <c r="F62" s="62" t="n"/>
      <c r="G62" s="59" t="n"/>
      <c r="H62" s="61" t="n"/>
      <c r="I62" s="56" t="n"/>
      <c r="J62" s="59" t="n"/>
      <c r="K62" s="59" t="n"/>
      <c r="L62" s="59" t="n"/>
      <c r="M62" s="28">
        <f>IF(A62&lt;&gt;"",IFERROR(SUMIF(Agenda!E:E,A62,Agenda!N:N),0),"")</f>
        <v/>
      </c>
      <c r="N62" s="54">
        <f>IF(A62&lt;&gt;"",IFERROR(COUNTIF(Agenda!E:E,A62),0),"")</f>
        <v/>
      </c>
      <c r="O62" s="56">
        <f>IF(A62&lt;&gt;"",IFERROR(MAXIFS(Agenda!C:C,Agenda!E:E,A62),""),"")</f>
        <v/>
      </c>
      <c r="P62" s="61" t="n"/>
    </row>
    <row r="63" ht="18" customHeight="1">
      <c r="A63" s="70" t="n"/>
      <c r="B63" s="70" t="n"/>
      <c r="C63" s="68" t="n"/>
      <c r="D63" s="71" t="n"/>
      <c r="E63" s="70" t="n"/>
      <c r="F63" s="74" t="n"/>
      <c r="G63" s="71" t="n"/>
      <c r="H63" s="73" t="n"/>
      <c r="I63" s="68" t="n"/>
      <c r="J63" s="71" t="n"/>
      <c r="K63" s="71" t="n"/>
      <c r="L63" s="71" t="n"/>
      <c r="M63" s="28">
        <f>IF(A63&lt;&gt;"",IFERROR(SUMIF(Agenda!E:E,A63,Agenda!N:N),0),"")</f>
        <v/>
      </c>
      <c r="N63" s="54">
        <f>IF(A63&lt;&gt;"",IFERROR(COUNTIF(Agenda!E:E,A63),0),"")</f>
        <v/>
      </c>
      <c r="O63" s="68">
        <f>IF(A63&lt;&gt;"",IFERROR(MAXIFS(Agenda!C:C,Agenda!E:E,A63),""),"")</f>
        <v/>
      </c>
      <c r="P63" s="73" t="n"/>
    </row>
    <row r="64" ht="18" customHeight="1">
      <c r="A64" s="58" t="n"/>
      <c r="B64" s="58" t="n"/>
      <c r="C64" s="56" t="n"/>
      <c r="D64" s="59" t="n"/>
      <c r="E64" s="58" t="n"/>
      <c r="F64" s="62" t="n"/>
      <c r="G64" s="59" t="n"/>
      <c r="H64" s="61" t="n"/>
      <c r="I64" s="56" t="n"/>
      <c r="J64" s="59" t="n"/>
      <c r="K64" s="59" t="n"/>
      <c r="L64" s="59" t="n"/>
      <c r="M64" s="28">
        <f>IF(A64&lt;&gt;"",IFERROR(SUMIF(Agenda!E:E,A64,Agenda!N:N),0),"")</f>
        <v/>
      </c>
      <c r="N64" s="54">
        <f>IF(A64&lt;&gt;"",IFERROR(COUNTIF(Agenda!E:E,A64),0),"")</f>
        <v/>
      </c>
      <c r="O64" s="56">
        <f>IF(A64&lt;&gt;"",IFERROR(MAXIFS(Agenda!C:C,Agenda!E:E,A64),""),"")</f>
        <v/>
      </c>
      <c r="P64" s="61" t="n"/>
    </row>
    <row r="65" ht="18" customHeight="1">
      <c r="A65" s="70" t="n"/>
      <c r="B65" s="70" t="n"/>
      <c r="C65" s="68" t="n"/>
      <c r="D65" s="71" t="n"/>
      <c r="E65" s="70" t="n"/>
      <c r="F65" s="74" t="n"/>
      <c r="G65" s="71" t="n"/>
      <c r="H65" s="73" t="n"/>
      <c r="I65" s="68" t="n"/>
      <c r="J65" s="71" t="n"/>
      <c r="K65" s="71" t="n"/>
      <c r="L65" s="71" t="n"/>
      <c r="M65" s="28">
        <f>IF(A65&lt;&gt;"",IFERROR(SUMIF(Agenda!E:E,A65,Agenda!N:N),0),"")</f>
        <v/>
      </c>
      <c r="N65" s="54">
        <f>IF(A65&lt;&gt;"",IFERROR(COUNTIF(Agenda!E:E,A65),0),"")</f>
        <v/>
      </c>
      <c r="O65" s="68">
        <f>IF(A65&lt;&gt;"",IFERROR(MAXIFS(Agenda!C:C,Agenda!E:E,A65),""),"")</f>
        <v/>
      </c>
      <c r="P65" s="73" t="n"/>
    </row>
    <row r="66" ht="18" customHeight="1">
      <c r="A66" s="58" t="n"/>
      <c r="B66" s="58" t="n"/>
      <c r="C66" s="56" t="n"/>
      <c r="D66" s="59" t="n"/>
      <c r="E66" s="58" t="n"/>
      <c r="F66" s="62" t="n"/>
      <c r="G66" s="59" t="n"/>
      <c r="H66" s="61" t="n"/>
      <c r="I66" s="56" t="n"/>
      <c r="J66" s="59" t="n"/>
      <c r="K66" s="59" t="n"/>
      <c r="L66" s="59" t="n"/>
      <c r="M66" s="28">
        <f>IF(A66&lt;&gt;"",IFERROR(SUMIF(Agenda!E:E,A66,Agenda!N:N),0),"")</f>
        <v/>
      </c>
      <c r="N66" s="54">
        <f>IF(A66&lt;&gt;"",IFERROR(COUNTIF(Agenda!E:E,A66),0),"")</f>
        <v/>
      </c>
      <c r="O66" s="56">
        <f>IF(A66&lt;&gt;"",IFERROR(MAXIFS(Agenda!C:C,Agenda!E:E,A66),""),"")</f>
        <v/>
      </c>
      <c r="P66" s="61" t="n"/>
    </row>
    <row r="67" ht="18" customHeight="1">
      <c r="A67" s="70" t="n"/>
      <c r="B67" s="70" t="n"/>
      <c r="C67" s="68" t="n"/>
      <c r="D67" s="71" t="n"/>
      <c r="E67" s="70" t="n"/>
      <c r="F67" s="74" t="n"/>
      <c r="G67" s="71" t="n"/>
      <c r="H67" s="73" t="n"/>
      <c r="I67" s="68" t="n"/>
      <c r="J67" s="71" t="n"/>
      <c r="K67" s="71" t="n"/>
      <c r="L67" s="71" t="n"/>
      <c r="M67" s="28">
        <f>IF(A67&lt;&gt;"",IFERROR(SUMIF(Agenda!E:E,A67,Agenda!N:N),0),"")</f>
        <v/>
      </c>
      <c r="N67" s="54">
        <f>IF(A67&lt;&gt;"",IFERROR(COUNTIF(Agenda!E:E,A67),0),"")</f>
        <v/>
      </c>
      <c r="O67" s="68">
        <f>IF(A67&lt;&gt;"",IFERROR(MAXIFS(Agenda!C:C,Agenda!E:E,A67),""),"")</f>
        <v/>
      </c>
      <c r="P67" s="73" t="n"/>
    </row>
    <row r="68" ht="18" customHeight="1">
      <c r="A68" s="58" t="n"/>
      <c r="B68" s="58" t="n"/>
      <c r="C68" s="56" t="n"/>
      <c r="D68" s="59" t="n"/>
      <c r="E68" s="58" t="n"/>
      <c r="F68" s="62" t="n"/>
      <c r="G68" s="59" t="n"/>
      <c r="H68" s="61" t="n"/>
      <c r="I68" s="56" t="n"/>
      <c r="J68" s="59" t="n"/>
      <c r="K68" s="59" t="n"/>
      <c r="L68" s="59" t="n"/>
      <c r="M68" s="28">
        <f>IF(A68&lt;&gt;"",IFERROR(SUMIF(Agenda!E:E,A68,Agenda!N:N),0),"")</f>
        <v/>
      </c>
      <c r="N68" s="54">
        <f>IF(A68&lt;&gt;"",IFERROR(COUNTIF(Agenda!E:E,A68),0),"")</f>
        <v/>
      </c>
      <c r="O68" s="56">
        <f>IF(A68&lt;&gt;"",IFERROR(MAXIFS(Agenda!C:C,Agenda!E:E,A68),""),"")</f>
        <v/>
      </c>
      <c r="P68" s="61" t="n"/>
    </row>
    <row r="69" ht="18" customHeight="1">
      <c r="A69" s="70" t="n"/>
      <c r="B69" s="70" t="n"/>
      <c r="C69" s="68" t="n"/>
      <c r="D69" s="71" t="n"/>
      <c r="E69" s="70" t="n"/>
      <c r="F69" s="74" t="n"/>
      <c r="G69" s="71" t="n"/>
      <c r="H69" s="73" t="n"/>
      <c r="I69" s="68" t="n"/>
      <c r="J69" s="71" t="n"/>
      <c r="K69" s="71" t="n"/>
      <c r="L69" s="71" t="n"/>
      <c r="M69" s="28">
        <f>IF(A69&lt;&gt;"",IFERROR(SUMIF(Agenda!E:E,A69,Agenda!N:N),0),"")</f>
        <v/>
      </c>
      <c r="N69" s="54">
        <f>IF(A69&lt;&gt;"",IFERROR(COUNTIF(Agenda!E:E,A69),0),"")</f>
        <v/>
      </c>
      <c r="O69" s="68">
        <f>IF(A69&lt;&gt;"",IFERROR(MAXIFS(Agenda!C:C,Agenda!E:E,A69),""),"")</f>
        <v/>
      </c>
      <c r="P69" s="73" t="n"/>
    </row>
    <row r="70" ht="18" customHeight="1">
      <c r="A70" s="58" t="n"/>
      <c r="B70" s="58" t="n"/>
      <c r="C70" s="56" t="n"/>
      <c r="D70" s="59" t="n"/>
      <c r="E70" s="58" t="n"/>
      <c r="F70" s="62" t="n"/>
      <c r="G70" s="59" t="n"/>
      <c r="H70" s="61" t="n"/>
      <c r="I70" s="56" t="n"/>
      <c r="J70" s="59" t="n"/>
      <c r="K70" s="59" t="n"/>
      <c r="L70" s="59" t="n"/>
      <c r="M70" s="28">
        <f>IF(A70&lt;&gt;"",IFERROR(SUMIF(Agenda!E:E,A70,Agenda!N:N),0),"")</f>
        <v/>
      </c>
      <c r="N70" s="54">
        <f>IF(A70&lt;&gt;"",IFERROR(COUNTIF(Agenda!E:E,A70),0),"")</f>
        <v/>
      </c>
      <c r="O70" s="56">
        <f>IF(A70&lt;&gt;"",IFERROR(MAXIFS(Agenda!C:C,Agenda!E:E,A70),""),"")</f>
        <v/>
      </c>
      <c r="P70" s="61" t="n"/>
    </row>
    <row r="71" ht="18" customHeight="1">
      <c r="A71" s="70" t="n"/>
      <c r="B71" s="70" t="n"/>
      <c r="C71" s="68" t="n"/>
      <c r="D71" s="71" t="n"/>
      <c r="E71" s="70" t="n"/>
      <c r="F71" s="74" t="n"/>
      <c r="G71" s="71" t="n"/>
      <c r="H71" s="73" t="n"/>
      <c r="I71" s="68" t="n"/>
      <c r="J71" s="71" t="n"/>
      <c r="K71" s="71" t="n"/>
      <c r="L71" s="71" t="n"/>
      <c r="M71" s="28">
        <f>IF(A71&lt;&gt;"",IFERROR(SUMIF(Agenda!E:E,A71,Agenda!N:N),0),"")</f>
        <v/>
      </c>
      <c r="N71" s="54">
        <f>IF(A71&lt;&gt;"",IFERROR(COUNTIF(Agenda!E:E,A71),0),"")</f>
        <v/>
      </c>
      <c r="O71" s="68">
        <f>IF(A71&lt;&gt;"",IFERROR(MAXIFS(Agenda!C:C,Agenda!E:E,A71),""),"")</f>
        <v/>
      </c>
      <c r="P71" s="73" t="n"/>
    </row>
    <row r="72" ht="18" customHeight="1">
      <c r="A72" s="58" t="n"/>
      <c r="B72" s="58" t="n"/>
      <c r="C72" s="56" t="n"/>
      <c r="D72" s="59" t="n"/>
      <c r="E72" s="58" t="n"/>
      <c r="F72" s="62" t="n"/>
      <c r="G72" s="59" t="n"/>
      <c r="H72" s="61" t="n"/>
      <c r="I72" s="56" t="n"/>
      <c r="J72" s="59" t="n"/>
      <c r="K72" s="59" t="n"/>
      <c r="L72" s="59" t="n"/>
      <c r="M72" s="28">
        <f>IF(A72&lt;&gt;"",IFERROR(SUMIF(Agenda!E:E,A72,Agenda!N:N),0),"")</f>
        <v/>
      </c>
      <c r="N72" s="54">
        <f>IF(A72&lt;&gt;"",IFERROR(COUNTIF(Agenda!E:E,A72),0),"")</f>
        <v/>
      </c>
      <c r="O72" s="56">
        <f>IF(A72&lt;&gt;"",IFERROR(MAXIFS(Agenda!C:C,Agenda!E:E,A72),""),"")</f>
        <v/>
      </c>
      <c r="P72" s="61" t="n"/>
    </row>
    <row r="73" ht="18" customHeight="1">
      <c r="A73" s="70" t="n"/>
      <c r="B73" s="70" t="n"/>
      <c r="C73" s="68" t="n"/>
      <c r="D73" s="71" t="n"/>
      <c r="E73" s="70" t="n"/>
      <c r="F73" s="74" t="n"/>
      <c r="G73" s="71" t="n"/>
      <c r="H73" s="73" t="n"/>
      <c r="I73" s="68" t="n"/>
      <c r="J73" s="71" t="n"/>
      <c r="K73" s="71" t="n"/>
      <c r="L73" s="71" t="n"/>
      <c r="M73" s="28">
        <f>IF(A73&lt;&gt;"",IFERROR(SUMIF(Agenda!E:E,A73,Agenda!N:N),0),"")</f>
        <v/>
      </c>
      <c r="N73" s="54">
        <f>IF(A73&lt;&gt;"",IFERROR(COUNTIF(Agenda!E:E,A73),0),"")</f>
        <v/>
      </c>
      <c r="O73" s="68">
        <f>IF(A73&lt;&gt;"",IFERROR(MAXIFS(Agenda!C:C,Agenda!E:E,A73),""),"")</f>
        <v/>
      </c>
      <c r="P73" s="73" t="n"/>
    </row>
    <row r="74" ht="18" customHeight="1">
      <c r="A74" s="58" t="n"/>
      <c r="B74" s="58" t="n"/>
      <c r="C74" s="56" t="n"/>
      <c r="D74" s="59" t="n"/>
      <c r="E74" s="58" t="n"/>
      <c r="F74" s="62" t="n"/>
      <c r="G74" s="59" t="n"/>
      <c r="H74" s="61" t="n"/>
      <c r="I74" s="56" t="n"/>
      <c r="J74" s="59" t="n"/>
      <c r="K74" s="59" t="n"/>
      <c r="L74" s="59" t="n"/>
      <c r="M74" s="28">
        <f>IF(A74&lt;&gt;"",IFERROR(SUMIF(Agenda!E:E,A74,Agenda!N:N),0),"")</f>
        <v/>
      </c>
      <c r="N74" s="54">
        <f>IF(A74&lt;&gt;"",IFERROR(COUNTIF(Agenda!E:E,A74),0),"")</f>
        <v/>
      </c>
      <c r="O74" s="56">
        <f>IF(A74&lt;&gt;"",IFERROR(MAXIFS(Agenda!C:C,Agenda!E:E,A74),""),"")</f>
        <v/>
      </c>
      <c r="P74" s="61" t="n"/>
    </row>
    <row r="75" ht="18" customHeight="1">
      <c r="A75" s="70" t="n"/>
      <c r="B75" s="70" t="n"/>
      <c r="C75" s="68" t="n"/>
      <c r="D75" s="71" t="n"/>
      <c r="E75" s="70" t="n"/>
      <c r="F75" s="74" t="n"/>
      <c r="G75" s="71" t="n"/>
      <c r="H75" s="73" t="n"/>
      <c r="I75" s="68" t="n"/>
      <c r="J75" s="71" t="n"/>
      <c r="K75" s="71" t="n"/>
      <c r="L75" s="71" t="n"/>
      <c r="M75" s="28">
        <f>IF(A75&lt;&gt;"",IFERROR(SUMIF(Agenda!E:E,A75,Agenda!N:N),0),"")</f>
        <v/>
      </c>
      <c r="N75" s="54">
        <f>IF(A75&lt;&gt;"",IFERROR(COUNTIF(Agenda!E:E,A75),0),"")</f>
        <v/>
      </c>
      <c r="O75" s="68">
        <f>IF(A75&lt;&gt;"",IFERROR(MAXIFS(Agenda!C:C,Agenda!E:E,A75),""),"")</f>
        <v/>
      </c>
      <c r="P75" s="73" t="n"/>
    </row>
    <row r="76" ht="18" customHeight="1">
      <c r="A76" s="58" t="n"/>
      <c r="B76" s="58" t="n"/>
      <c r="C76" s="56" t="n"/>
      <c r="D76" s="59" t="n"/>
      <c r="E76" s="58" t="n"/>
      <c r="F76" s="62" t="n"/>
      <c r="G76" s="59" t="n"/>
      <c r="H76" s="61" t="n"/>
      <c r="I76" s="56" t="n"/>
      <c r="J76" s="59" t="n"/>
      <c r="K76" s="59" t="n"/>
      <c r="L76" s="59" t="n"/>
      <c r="M76" s="28">
        <f>IF(A76&lt;&gt;"",IFERROR(SUMIF(Agenda!E:E,A76,Agenda!N:N),0),"")</f>
        <v/>
      </c>
      <c r="N76" s="54">
        <f>IF(A76&lt;&gt;"",IFERROR(COUNTIF(Agenda!E:E,A76),0),"")</f>
        <v/>
      </c>
      <c r="O76" s="56">
        <f>IF(A76&lt;&gt;"",IFERROR(MAXIFS(Agenda!C:C,Agenda!E:E,A76),""),"")</f>
        <v/>
      </c>
      <c r="P76" s="61" t="n"/>
    </row>
    <row r="77" ht="18" customHeight="1">
      <c r="A77" s="70" t="n"/>
      <c r="B77" s="70" t="n"/>
      <c r="C77" s="68" t="n"/>
      <c r="D77" s="71" t="n"/>
      <c r="E77" s="70" t="n"/>
      <c r="F77" s="74" t="n"/>
      <c r="G77" s="71" t="n"/>
      <c r="H77" s="73" t="n"/>
      <c r="I77" s="68" t="n"/>
      <c r="J77" s="71" t="n"/>
      <c r="K77" s="71" t="n"/>
      <c r="L77" s="71" t="n"/>
      <c r="M77" s="28">
        <f>IF(A77&lt;&gt;"",IFERROR(SUMIF(Agenda!E:E,A77,Agenda!N:N),0),"")</f>
        <v/>
      </c>
      <c r="N77" s="54">
        <f>IF(A77&lt;&gt;"",IFERROR(COUNTIF(Agenda!E:E,A77),0),"")</f>
        <v/>
      </c>
      <c r="O77" s="68">
        <f>IF(A77&lt;&gt;"",IFERROR(MAXIFS(Agenda!C:C,Agenda!E:E,A77),""),"")</f>
        <v/>
      </c>
      <c r="P77" s="73" t="n"/>
    </row>
    <row r="78" ht="18" customHeight="1">
      <c r="A78" s="58" t="n"/>
      <c r="B78" s="58" t="n"/>
      <c r="C78" s="56" t="n"/>
      <c r="D78" s="59" t="n"/>
      <c r="E78" s="58" t="n"/>
      <c r="F78" s="62" t="n"/>
      <c r="G78" s="59" t="n"/>
      <c r="H78" s="61" t="n"/>
      <c r="I78" s="56" t="n"/>
      <c r="J78" s="59" t="n"/>
      <c r="K78" s="59" t="n"/>
      <c r="L78" s="59" t="n"/>
      <c r="M78" s="28">
        <f>IF(A78&lt;&gt;"",IFERROR(SUMIF(Agenda!E:E,A78,Agenda!N:N),0),"")</f>
        <v/>
      </c>
      <c r="N78" s="54">
        <f>IF(A78&lt;&gt;"",IFERROR(COUNTIF(Agenda!E:E,A78),0),"")</f>
        <v/>
      </c>
      <c r="O78" s="56">
        <f>IF(A78&lt;&gt;"",IFERROR(MAXIFS(Agenda!C:C,Agenda!E:E,A78),""),"")</f>
        <v/>
      </c>
      <c r="P78" s="61" t="n"/>
    </row>
    <row r="79" ht="18" customHeight="1">
      <c r="A79" s="70" t="n"/>
      <c r="B79" s="70" t="n"/>
      <c r="C79" s="68" t="n"/>
      <c r="D79" s="71" t="n"/>
      <c r="E79" s="70" t="n"/>
      <c r="F79" s="74" t="n"/>
      <c r="G79" s="71" t="n"/>
      <c r="H79" s="73" t="n"/>
      <c r="I79" s="68" t="n"/>
      <c r="J79" s="71" t="n"/>
      <c r="K79" s="71" t="n"/>
      <c r="L79" s="71" t="n"/>
      <c r="M79" s="28">
        <f>IF(A79&lt;&gt;"",IFERROR(SUMIF(Agenda!E:E,A79,Agenda!N:N),0),"")</f>
        <v/>
      </c>
      <c r="N79" s="54">
        <f>IF(A79&lt;&gt;"",IFERROR(COUNTIF(Agenda!E:E,A79),0),"")</f>
        <v/>
      </c>
      <c r="O79" s="68">
        <f>IF(A79&lt;&gt;"",IFERROR(MAXIFS(Agenda!C:C,Agenda!E:E,A79),""),"")</f>
        <v/>
      </c>
      <c r="P79" s="73" t="n"/>
    </row>
    <row r="80" ht="18" customHeight="1">
      <c r="A80" s="58" t="n"/>
      <c r="B80" s="58" t="n"/>
      <c r="C80" s="56" t="n"/>
      <c r="D80" s="59" t="n"/>
      <c r="E80" s="58" t="n"/>
      <c r="F80" s="62" t="n"/>
      <c r="G80" s="59" t="n"/>
      <c r="H80" s="61" t="n"/>
      <c r="I80" s="56" t="n"/>
      <c r="J80" s="59" t="n"/>
      <c r="K80" s="59" t="n"/>
      <c r="L80" s="59" t="n"/>
      <c r="M80" s="28">
        <f>IF(A80&lt;&gt;"",IFERROR(SUMIF(Agenda!E:E,A80,Agenda!N:N),0),"")</f>
        <v/>
      </c>
      <c r="N80" s="54">
        <f>IF(A80&lt;&gt;"",IFERROR(COUNTIF(Agenda!E:E,A80),0),"")</f>
        <v/>
      </c>
      <c r="O80" s="56">
        <f>IF(A80&lt;&gt;"",IFERROR(MAXIFS(Agenda!C:C,Agenda!E:E,A80),""),"")</f>
        <v/>
      </c>
      <c r="P80" s="61" t="n"/>
    </row>
    <row r="81" ht="18" customHeight="1">
      <c r="A81" s="70" t="n"/>
      <c r="B81" s="70" t="n"/>
      <c r="C81" s="68" t="n"/>
      <c r="D81" s="71" t="n"/>
      <c r="E81" s="70" t="n"/>
      <c r="F81" s="74" t="n"/>
      <c r="G81" s="71" t="n"/>
      <c r="H81" s="73" t="n"/>
      <c r="I81" s="68" t="n"/>
      <c r="J81" s="71" t="n"/>
      <c r="K81" s="71" t="n"/>
      <c r="L81" s="71" t="n"/>
      <c r="M81" s="28">
        <f>IF(A81&lt;&gt;"",IFERROR(SUMIF(Agenda!E:E,A81,Agenda!N:N),0),"")</f>
        <v/>
      </c>
      <c r="N81" s="54">
        <f>IF(A81&lt;&gt;"",IFERROR(COUNTIF(Agenda!E:E,A81),0),"")</f>
        <v/>
      </c>
      <c r="O81" s="68">
        <f>IF(A81&lt;&gt;"",IFERROR(MAXIFS(Agenda!C:C,Agenda!E:E,A81),""),"")</f>
        <v/>
      </c>
      <c r="P81" s="73" t="n"/>
    </row>
    <row r="82" ht="18" customHeight="1">
      <c r="A82" s="58" t="n"/>
      <c r="B82" s="58" t="n"/>
      <c r="C82" s="56" t="n"/>
      <c r="D82" s="59" t="n"/>
      <c r="E82" s="58" t="n"/>
      <c r="F82" s="62" t="n"/>
      <c r="G82" s="59" t="n"/>
      <c r="H82" s="61" t="n"/>
      <c r="I82" s="56" t="n"/>
      <c r="J82" s="59" t="n"/>
      <c r="K82" s="59" t="n"/>
      <c r="L82" s="59" t="n"/>
      <c r="M82" s="28">
        <f>IF(A82&lt;&gt;"",IFERROR(SUMIF(Agenda!E:E,A82,Agenda!N:N),0),"")</f>
        <v/>
      </c>
      <c r="N82" s="54">
        <f>IF(A82&lt;&gt;"",IFERROR(COUNTIF(Agenda!E:E,A82),0),"")</f>
        <v/>
      </c>
      <c r="O82" s="56">
        <f>IF(A82&lt;&gt;"",IFERROR(MAXIFS(Agenda!C:C,Agenda!E:E,A82),""),"")</f>
        <v/>
      </c>
      <c r="P82" s="61" t="n"/>
    </row>
    <row r="83" ht="18" customHeight="1">
      <c r="A83" s="70" t="n"/>
      <c r="B83" s="70" t="n"/>
      <c r="C83" s="68" t="n"/>
      <c r="D83" s="71" t="n"/>
      <c r="E83" s="70" t="n"/>
      <c r="F83" s="74" t="n"/>
      <c r="G83" s="71" t="n"/>
      <c r="H83" s="73" t="n"/>
      <c r="I83" s="68" t="n"/>
      <c r="J83" s="71" t="n"/>
      <c r="K83" s="71" t="n"/>
      <c r="L83" s="71" t="n"/>
      <c r="M83" s="28">
        <f>IF(A83&lt;&gt;"",IFERROR(SUMIF(Agenda!E:E,A83,Agenda!N:N),0),"")</f>
        <v/>
      </c>
      <c r="N83" s="54">
        <f>IF(A83&lt;&gt;"",IFERROR(COUNTIF(Agenda!E:E,A83),0),"")</f>
        <v/>
      </c>
      <c r="O83" s="68">
        <f>IF(A83&lt;&gt;"",IFERROR(MAXIFS(Agenda!C:C,Agenda!E:E,A83),""),"")</f>
        <v/>
      </c>
      <c r="P83" s="73" t="n"/>
    </row>
    <row r="84" ht="18" customHeight="1">
      <c r="A84" s="58" t="n"/>
      <c r="B84" s="58" t="n"/>
      <c r="C84" s="56" t="n"/>
      <c r="D84" s="59" t="n"/>
      <c r="E84" s="58" t="n"/>
      <c r="F84" s="62" t="n"/>
      <c r="G84" s="59" t="n"/>
      <c r="H84" s="61" t="n"/>
      <c r="I84" s="56" t="n"/>
      <c r="J84" s="59" t="n"/>
      <c r="K84" s="59" t="n"/>
      <c r="L84" s="59" t="n"/>
      <c r="M84" s="28">
        <f>IF(A84&lt;&gt;"",IFERROR(SUMIF(Agenda!E:E,A84,Agenda!N:N),0),"")</f>
        <v/>
      </c>
      <c r="N84" s="54">
        <f>IF(A84&lt;&gt;"",IFERROR(COUNTIF(Agenda!E:E,A84),0),"")</f>
        <v/>
      </c>
      <c r="O84" s="56">
        <f>IF(A84&lt;&gt;"",IFERROR(MAXIFS(Agenda!C:C,Agenda!E:E,A84),""),"")</f>
        <v/>
      </c>
      <c r="P84" s="61" t="n"/>
    </row>
    <row r="85" ht="18" customHeight="1">
      <c r="A85" s="70" t="n"/>
      <c r="B85" s="70" t="n"/>
      <c r="C85" s="68" t="n"/>
      <c r="D85" s="71" t="n"/>
      <c r="E85" s="70" t="n"/>
      <c r="F85" s="74" t="n"/>
      <c r="G85" s="71" t="n"/>
      <c r="H85" s="73" t="n"/>
      <c r="I85" s="68" t="n"/>
      <c r="J85" s="71" t="n"/>
      <c r="K85" s="71" t="n"/>
      <c r="L85" s="71" t="n"/>
      <c r="M85" s="28">
        <f>IF(A85&lt;&gt;"",IFERROR(SUMIF(Agenda!E:E,A85,Agenda!N:N),0),"")</f>
        <v/>
      </c>
      <c r="N85" s="54">
        <f>IF(A85&lt;&gt;"",IFERROR(COUNTIF(Agenda!E:E,A85),0),"")</f>
        <v/>
      </c>
      <c r="O85" s="68">
        <f>IF(A85&lt;&gt;"",IFERROR(MAXIFS(Agenda!C:C,Agenda!E:E,A85),""),"")</f>
        <v/>
      </c>
      <c r="P85" s="73" t="n"/>
    </row>
    <row r="86" ht="18" customHeight="1">
      <c r="A86" s="58" t="n"/>
      <c r="B86" s="58" t="n"/>
      <c r="C86" s="56" t="n"/>
      <c r="D86" s="59" t="n"/>
      <c r="E86" s="58" t="n"/>
      <c r="F86" s="62" t="n"/>
      <c r="G86" s="59" t="n"/>
      <c r="H86" s="61" t="n"/>
      <c r="I86" s="56" t="n"/>
      <c r="J86" s="59" t="n"/>
      <c r="K86" s="59" t="n"/>
      <c r="L86" s="59" t="n"/>
      <c r="M86" s="28">
        <f>IF(A86&lt;&gt;"",IFERROR(SUMIF(Agenda!E:E,A86,Agenda!N:N),0),"")</f>
        <v/>
      </c>
      <c r="N86" s="54">
        <f>IF(A86&lt;&gt;"",IFERROR(COUNTIF(Agenda!E:E,A86),0),"")</f>
        <v/>
      </c>
      <c r="O86" s="56">
        <f>IF(A86&lt;&gt;"",IFERROR(MAXIFS(Agenda!C:C,Agenda!E:E,A86),""),"")</f>
        <v/>
      </c>
      <c r="P86" s="61" t="n"/>
    </row>
    <row r="87" ht="18" customHeight="1">
      <c r="A87" s="70" t="n"/>
      <c r="B87" s="70" t="n"/>
      <c r="C87" s="68" t="n"/>
      <c r="D87" s="71" t="n"/>
      <c r="E87" s="70" t="n"/>
      <c r="F87" s="74" t="n"/>
      <c r="G87" s="71" t="n"/>
      <c r="H87" s="73" t="n"/>
      <c r="I87" s="68" t="n"/>
      <c r="J87" s="71" t="n"/>
      <c r="K87" s="71" t="n"/>
      <c r="L87" s="71" t="n"/>
      <c r="M87" s="28">
        <f>IF(A87&lt;&gt;"",IFERROR(SUMIF(Agenda!E:E,A87,Agenda!N:N),0),"")</f>
        <v/>
      </c>
      <c r="N87" s="54">
        <f>IF(A87&lt;&gt;"",IFERROR(COUNTIF(Agenda!E:E,A87),0),"")</f>
        <v/>
      </c>
      <c r="O87" s="68">
        <f>IF(A87&lt;&gt;"",IFERROR(MAXIFS(Agenda!C:C,Agenda!E:E,A87),""),"")</f>
        <v/>
      </c>
      <c r="P87" s="73" t="n"/>
    </row>
    <row r="88" ht="18" customHeight="1">
      <c r="A88" s="58" t="n"/>
      <c r="B88" s="58" t="n"/>
      <c r="C88" s="56" t="n"/>
      <c r="D88" s="59" t="n"/>
      <c r="E88" s="58" t="n"/>
      <c r="F88" s="62" t="n"/>
      <c r="G88" s="59" t="n"/>
      <c r="H88" s="61" t="n"/>
      <c r="I88" s="56" t="n"/>
      <c r="J88" s="59" t="n"/>
      <c r="K88" s="59" t="n"/>
      <c r="L88" s="59" t="n"/>
      <c r="M88" s="28">
        <f>IF(A88&lt;&gt;"",IFERROR(SUMIF(Agenda!E:E,A88,Agenda!N:N),0),"")</f>
        <v/>
      </c>
      <c r="N88" s="54">
        <f>IF(A88&lt;&gt;"",IFERROR(COUNTIF(Agenda!E:E,A88),0),"")</f>
        <v/>
      </c>
      <c r="O88" s="56">
        <f>IF(A88&lt;&gt;"",IFERROR(MAXIFS(Agenda!C:C,Agenda!E:E,A88),""),"")</f>
        <v/>
      </c>
      <c r="P88" s="61" t="n"/>
    </row>
    <row r="89" ht="18" customHeight="1">
      <c r="A89" s="70" t="n"/>
      <c r="B89" s="70" t="n"/>
      <c r="C89" s="68" t="n"/>
      <c r="D89" s="71" t="n"/>
      <c r="E89" s="70" t="n"/>
      <c r="F89" s="74" t="n"/>
      <c r="G89" s="71" t="n"/>
      <c r="H89" s="73" t="n"/>
      <c r="I89" s="68" t="n"/>
      <c r="J89" s="71" t="n"/>
      <c r="K89" s="71" t="n"/>
      <c r="L89" s="71" t="n"/>
      <c r="M89" s="28">
        <f>IF(A89&lt;&gt;"",IFERROR(SUMIF(Agenda!E:E,A89,Agenda!N:N),0),"")</f>
        <v/>
      </c>
      <c r="N89" s="54">
        <f>IF(A89&lt;&gt;"",IFERROR(COUNTIF(Agenda!E:E,A89),0),"")</f>
        <v/>
      </c>
      <c r="O89" s="68">
        <f>IF(A89&lt;&gt;"",IFERROR(MAXIFS(Agenda!C:C,Agenda!E:E,A89),""),"")</f>
        <v/>
      </c>
      <c r="P89" s="73" t="n"/>
    </row>
    <row r="90" ht="18" customHeight="1">
      <c r="A90" s="58" t="n"/>
      <c r="B90" s="58" t="n"/>
      <c r="C90" s="56" t="n"/>
      <c r="D90" s="59" t="n"/>
      <c r="E90" s="58" t="n"/>
      <c r="F90" s="62" t="n"/>
      <c r="G90" s="59" t="n"/>
      <c r="H90" s="61" t="n"/>
      <c r="I90" s="56" t="n"/>
      <c r="J90" s="59" t="n"/>
      <c r="K90" s="59" t="n"/>
      <c r="L90" s="59" t="n"/>
      <c r="M90" s="28">
        <f>IF(A90&lt;&gt;"",IFERROR(SUMIF(Agenda!E:E,A90,Agenda!N:N),0),"")</f>
        <v/>
      </c>
      <c r="N90" s="54">
        <f>IF(A90&lt;&gt;"",IFERROR(COUNTIF(Agenda!E:E,A90),0),"")</f>
        <v/>
      </c>
      <c r="O90" s="56">
        <f>IF(A90&lt;&gt;"",IFERROR(MAXIFS(Agenda!C:C,Agenda!E:E,A90),""),"")</f>
        <v/>
      </c>
      <c r="P90" s="61" t="n"/>
    </row>
    <row r="91" ht="18" customHeight="1">
      <c r="A91" s="70" t="n"/>
      <c r="B91" s="70" t="n"/>
      <c r="C91" s="68" t="n"/>
      <c r="D91" s="71" t="n"/>
      <c r="E91" s="70" t="n"/>
      <c r="F91" s="74" t="n"/>
      <c r="G91" s="71" t="n"/>
      <c r="H91" s="73" t="n"/>
      <c r="I91" s="68" t="n"/>
      <c r="J91" s="71" t="n"/>
      <c r="K91" s="71" t="n"/>
      <c r="L91" s="71" t="n"/>
      <c r="M91" s="28">
        <f>IF(A91&lt;&gt;"",IFERROR(SUMIF(Agenda!E:E,A91,Agenda!N:N),0),"")</f>
        <v/>
      </c>
      <c r="N91" s="54">
        <f>IF(A91&lt;&gt;"",IFERROR(COUNTIF(Agenda!E:E,A91),0),"")</f>
        <v/>
      </c>
      <c r="O91" s="68">
        <f>IF(A91&lt;&gt;"",IFERROR(MAXIFS(Agenda!C:C,Agenda!E:E,A91),""),"")</f>
        <v/>
      </c>
      <c r="P91" s="73" t="n"/>
    </row>
    <row r="92" ht="18" customHeight="1">
      <c r="A92" s="58" t="n"/>
      <c r="B92" s="58" t="n"/>
      <c r="C92" s="56" t="n"/>
      <c r="D92" s="59" t="n"/>
      <c r="E92" s="58" t="n"/>
      <c r="F92" s="62" t="n"/>
      <c r="G92" s="59" t="n"/>
      <c r="H92" s="61" t="n"/>
      <c r="I92" s="56" t="n"/>
      <c r="J92" s="59" t="n"/>
      <c r="K92" s="59" t="n"/>
      <c r="L92" s="59" t="n"/>
      <c r="M92" s="28">
        <f>IF(A92&lt;&gt;"",IFERROR(SUMIF(Agenda!E:E,A92,Agenda!N:N),0),"")</f>
        <v/>
      </c>
      <c r="N92" s="54">
        <f>IF(A92&lt;&gt;"",IFERROR(COUNTIF(Agenda!E:E,A92),0),"")</f>
        <v/>
      </c>
      <c r="O92" s="56">
        <f>IF(A92&lt;&gt;"",IFERROR(MAXIFS(Agenda!C:C,Agenda!E:E,A92),""),"")</f>
        <v/>
      </c>
      <c r="P92" s="61" t="n"/>
    </row>
    <row r="93" ht="18" customHeight="1">
      <c r="A93" s="70" t="n"/>
      <c r="B93" s="70" t="n"/>
      <c r="C93" s="68" t="n"/>
      <c r="D93" s="71" t="n"/>
      <c r="E93" s="70" t="n"/>
      <c r="F93" s="74" t="n"/>
      <c r="G93" s="71" t="n"/>
      <c r="H93" s="73" t="n"/>
      <c r="I93" s="68" t="n"/>
      <c r="J93" s="71" t="n"/>
      <c r="K93" s="71" t="n"/>
      <c r="L93" s="71" t="n"/>
      <c r="M93" s="28">
        <f>IF(A93&lt;&gt;"",IFERROR(SUMIF(Agenda!E:E,A93,Agenda!N:N),0),"")</f>
        <v/>
      </c>
      <c r="N93" s="54">
        <f>IF(A93&lt;&gt;"",IFERROR(COUNTIF(Agenda!E:E,A93),0),"")</f>
        <v/>
      </c>
      <c r="O93" s="68">
        <f>IF(A93&lt;&gt;"",IFERROR(MAXIFS(Agenda!C:C,Agenda!E:E,A93),""),"")</f>
        <v/>
      </c>
      <c r="P93" s="73" t="n"/>
    </row>
    <row r="94" ht="18" customHeight="1">
      <c r="A94" s="58" t="n"/>
      <c r="B94" s="58" t="n"/>
      <c r="C94" s="56" t="n"/>
      <c r="D94" s="59" t="n"/>
      <c r="E94" s="58" t="n"/>
      <c r="F94" s="62" t="n"/>
      <c r="G94" s="59" t="n"/>
      <c r="H94" s="61" t="n"/>
      <c r="I94" s="56" t="n"/>
      <c r="J94" s="59" t="n"/>
      <c r="K94" s="59" t="n"/>
      <c r="L94" s="59" t="n"/>
      <c r="M94" s="28">
        <f>IF(A94&lt;&gt;"",IFERROR(SUMIF(Agenda!E:E,A94,Agenda!N:N),0),"")</f>
        <v/>
      </c>
      <c r="N94" s="54">
        <f>IF(A94&lt;&gt;"",IFERROR(COUNTIF(Agenda!E:E,A94),0),"")</f>
        <v/>
      </c>
      <c r="O94" s="56">
        <f>IF(A94&lt;&gt;"",IFERROR(MAXIFS(Agenda!C:C,Agenda!E:E,A94),""),"")</f>
        <v/>
      </c>
      <c r="P94" s="61" t="n"/>
    </row>
    <row r="95" ht="18" customHeight="1">
      <c r="A95" s="70" t="n"/>
      <c r="B95" s="70" t="n"/>
      <c r="C95" s="68" t="n"/>
      <c r="D95" s="71" t="n"/>
      <c r="E95" s="70" t="n"/>
      <c r="F95" s="74" t="n"/>
      <c r="G95" s="71" t="n"/>
      <c r="H95" s="73" t="n"/>
      <c r="I95" s="68" t="n"/>
      <c r="J95" s="71" t="n"/>
      <c r="K95" s="71" t="n"/>
      <c r="L95" s="71" t="n"/>
      <c r="M95" s="28">
        <f>IF(A95&lt;&gt;"",IFERROR(SUMIF(Agenda!E:E,A95,Agenda!N:N),0),"")</f>
        <v/>
      </c>
      <c r="N95" s="54">
        <f>IF(A95&lt;&gt;"",IFERROR(COUNTIF(Agenda!E:E,A95),0),"")</f>
        <v/>
      </c>
      <c r="O95" s="68">
        <f>IF(A95&lt;&gt;"",IFERROR(MAXIFS(Agenda!C:C,Agenda!E:E,A95),""),"")</f>
        <v/>
      </c>
      <c r="P95" s="73" t="n"/>
    </row>
    <row r="96" ht="18" customHeight="1">
      <c r="A96" s="58" t="n"/>
      <c r="B96" s="58" t="n"/>
      <c r="C96" s="56" t="n"/>
      <c r="D96" s="59" t="n"/>
      <c r="E96" s="58" t="n"/>
      <c r="F96" s="62" t="n"/>
      <c r="G96" s="59" t="n"/>
      <c r="H96" s="61" t="n"/>
      <c r="I96" s="56" t="n"/>
      <c r="J96" s="59" t="n"/>
      <c r="K96" s="59" t="n"/>
      <c r="L96" s="59" t="n"/>
      <c r="M96" s="28">
        <f>IF(A96&lt;&gt;"",IFERROR(SUMIF(Agenda!E:E,A96,Agenda!N:N),0),"")</f>
        <v/>
      </c>
      <c r="N96" s="54">
        <f>IF(A96&lt;&gt;"",IFERROR(COUNTIF(Agenda!E:E,A96),0),"")</f>
        <v/>
      </c>
      <c r="O96" s="56">
        <f>IF(A96&lt;&gt;"",IFERROR(MAXIFS(Agenda!C:C,Agenda!E:E,A96),""),"")</f>
        <v/>
      </c>
      <c r="P96" s="61" t="n"/>
    </row>
    <row r="97" ht="18" customHeight="1">
      <c r="A97" s="70" t="n"/>
      <c r="B97" s="70" t="n"/>
      <c r="C97" s="68" t="n"/>
      <c r="D97" s="71" t="n"/>
      <c r="E97" s="70" t="n"/>
      <c r="F97" s="74" t="n"/>
      <c r="G97" s="71" t="n"/>
      <c r="H97" s="73" t="n"/>
      <c r="I97" s="68" t="n"/>
      <c r="J97" s="71" t="n"/>
      <c r="K97" s="71" t="n"/>
      <c r="L97" s="71" t="n"/>
      <c r="M97" s="28">
        <f>IF(A97&lt;&gt;"",IFERROR(SUMIF(Agenda!E:E,A97,Agenda!N:N),0),"")</f>
        <v/>
      </c>
      <c r="N97" s="54">
        <f>IF(A97&lt;&gt;"",IFERROR(COUNTIF(Agenda!E:E,A97),0),"")</f>
        <v/>
      </c>
      <c r="O97" s="68">
        <f>IF(A97&lt;&gt;"",IFERROR(MAXIFS(Agenda!C:C,Agenda!E:E,A97),""),"")</f>
        <v/>
      </c>
      <c r="P97" s="73" t="n"/>
    </row>
    <row r="98" ht="18" customHeight="1">
      <c r="A98" s="58" t="n"/>
      <c r="B98" s="58" t="n"/>
      <c r="C98" s="56" t="n"/>
      <c r="D98" s="59" t="n"/>
      <c r="E98" s="58" t="n"/>
      <c r="F98" s="62" t="n"/>
      <c r="G98" s="59" t="n"/>
      <c r="H98" s="61" t="n"/>
      <c r="I98" s="56" t="n"/>
      <c r="J98" s="59" t="n"/>
      <c r="K98" s="59" t="n"/>
      <c r="L98" s="59" t="n"/>
      <c r="M98" s="28">
        <f>IF(A98&lt;&gt;"",IFERROR(SUMIF(Agenda!E:E,A98,Agenda!N:N),0),"")</f>
        <v/>
      </c>
      <c r="N98" s="54">
        <f>IF(A98&lt;&gt;"",IFERROR(COUNTIF(Agenda!E:E,A98),0),"")</f>
        <v/>
      </c>
      <c r="O98" s="56">
        <f>IF(A98&lt;&gt;"",IFERROR(MAXIFS(Agenda!C:C,Agenda!E:E,A98),""),"")</f>
        <v/>
      </c>
      <c r="P98" s="61" t="n"/>
    </row>
    <row r="99" ht="18" customHeight="1">
      <c r="A99" s="70" t="n"/>
      <c r="B99" s="70" t="n"/>
      <c r="C99" s="68" t="n"/>
      <c r="D99" s="71" t="n"/>
      <c r="E99" s="70" t="n"/>
      <c r="F99" s="74" t="n"/>
      <c r="G99" s="71" t="n"/>
      <c r="H99" s="73" t="n"/>
      <c r="I99" s="68" t="n"/>
      <c r="J99" s="71" t="n"/>
      <c r="K99" s="71" t="n"/>
      <c r="L99" s="71" t="n"/>
      <c r="M99" s="28">
        <f>IF(A99&lt;&gt;"",IFERROR(SUMIF(Agenda!E:E,A99,Agenda!N:N),0),"")</f>
        <v/>
      </c>
      <c r="N99" s="54">
        <f>IF(A99&lt;&gt;"",IFERROR(COUNTIF(Agenda!E:E,A99),0),"")</f>
        <v/>
      </c>
      <c r="O99" s="68">
        <f>IF(A99&lt;&gt;"",IFERROR(MAXIFS(Agenda!C:C,Agenda!E:E,A99),""),"")</f>
        <v/>
      </c>
      <c r="P99" s="73" t="n"/>
    </row>
    <row r="100" ht="18" customHeight="1">
      <c r="A100" s="58" t="n"/>
      <c r="B100" s="58" t="n"/>
      <c r="C100" s="56" t="n"/>
      <c r="D100" s="59" t="n"/>
      <c r="E100" s="58" t="n"/>
      <c r="F100" s="62" t="n"/>
      <c r="G100" s="59" t="n"/>
      <c r="H100" s="61" t="n"/>
      <c r="I100" s="56" t="n"/>
      <c r="J100" s="59" t="n"/>
      <c r="K100" s="59" t="n"/>
      <c r="L100" s="59" t="n"/>
      <c r="M100" s="28">
        <f>IF(A100&lt;&gt;"",IFERROR(SUMIF(Agenda!E:E,A100,Agenda!N:N),0),"")</f>
        <v/>
      </c>
      <c r="N100" s="54">
        <f>IF(A100&lt;&gt;"",IFERROR(COUNTIF(Agenda!E:E,A100),0),"")</f>
        <v/>
      </c>
      <c r="O100" s="56">
        <f>IF(A100&lt;&gt;"",IFERROR(MAXIFS(Agenda!C:C,Agenda!E:E,A100),""),"")</f>
        <v/>
      </c>
      <c r="P100" s="61" t="n"/>
    </row>
    <row r="101" ht="18" customHeight="1">
      <c r="A101" s="70" t="n"/>
      <c r="B101" s="70" t="n"/>
      <c r="C101" s="68" t="n"/>
      <c r="D101" s="71" t="n"/>
      <c r="E101" s="70" t="n"/>
      <c r="F101" s="74" t="n"/>
      <c r="G101" s="71" t="n"/>
      <c r="H101" s="73" t="n"/>
      <c r="I101" s="68" t="n"/>
      <c r="J101" s="71" t="n"/>
      <c r="K101" s="71" t="n"/>
      <c r="L101" s="71" t="n"/>
      <c r="M101" s="28">
        <f>IF(A101&lt;&gt;"",IFERROR(SUMIF(Agenda!E:E,A101,Agenda!N:N),0),"")</f>
        <v/>
      </c>
      <c r="N101" s="54">
        <f>IF(A101&lt;&gt;"",IFERROR(COUNTIF(Agenda!E:E,A101),0),"")</f>
        <v/>
      </c>
      <c r="O101" s="68">
        <f>IF(A101&lt;&gt;"",IFERROR(MAXIFS(Agenda!C:C,Agenda!E:E,A101),""),"")</f>
        <v/>
      </c>
      <c r="P101" s="73" t="n"/>
    </row>
    <row r="102" ht="18" customHeight="1">
      <c r="A102" s="58" t="n"/>
      <c r="B102" s="58" t="n"/>
      <c r="C102" s="56" t="n"/>
      <c r="D102" s="59" t="n"/>
      <c r="E102" s="58" t="n"/>
      <c r="F102" s="62" t="n"/>
      <c r="G102" s="59" t="n"/>
      <c r="H102" s="61" t="n"/>
      <c r="I102" s="56" t="n"/>
      <c r="J102" s="59" t="n"/>
      <c r="K102" s="59" t="n"/>
      <c r="L102" s="59" t="n"/>
      <c r="M102" s="28">
        <f>IF(A102&lt;&gt;"",IFERROR(SUMIF(Agenda!E:E,A102,Agenda!N:N),0),"")</f>
        <v/>
      </c>
      <c r="N102" s="54">
        <f>IF(A102&lt;&gt;"",IFERROR(COUNTIF(Agenda!E:E,A102),0),"")</f>
        <v/>
      </c>
      <c r="O102" s="56">
        <f>IF(A102&lt;&gt;"",IFERROR(MAXIFS(Agenda!C:C,Agenda!E:E,A102),""),"")</f>
        <v/>
      </c>
      <c r="P102" s="61" t="n"/>
    </row>
    <row r="103" ht="18" customHeight="1">
      <c r="A103" s="70" t="n"/>
      <c r="B103" s="70" t="n"/>
      <c r="C103" s="68" t="n"/>
      <c r="D103" s="71" t="n"/>
      <c r="E103" s="70" t="n"/>
      <c r="F103" s="74" t="n"/>
      <c r="G103" s="71" t="n"/>
      <c r="H103" s="73" t="n"/>
      <c r="I103" s="68" t="n"/>
      <c r="J103" s="71" t="n"/>
      <c r="K103" s="71" t="n"/>
      <c r="L103" s="71" t="n"/>
      <c r="M103" s="28">
        <f>IF(A103&lt;&gt;"",IFERROR(SUMIF(Agenda!E:E,A103,Agenda!N:N),0),"")</f>
        <v/>
      </c>
      <c r="N103" s="54">
        <f>IF(A103&lt;&gt;"",IFERROR(COUNTIF(Agenda!E:E,A103),0),"")</f>
        <v/>
      </c>
      <c r="O103" s="68">
        <f>IF(A103&lt;&gt;"",IFERROR(MAXIFS(Agenda!C:C,Agenda!E:E,A103),""),"")</f>
        <v/>
      </c>
      <c r="P103" s="73" t="n"/>
    </row>
    <row r="104" ht="18" customHeight="1">
      <c r="A104" s="58" t="n"/>
      <c r="B104" s="58" t="n"/>
      <c r="C104" s="56" t="n"/>
      <c r="D104" s="59" t="n"/>
      <c r="E104" s="58" t="n"/>
      <c r="F104" s="62" t="n"/>
      <c r="G104" s="59" t="n"/>
      <c r="H104" s="61" t="n"/>
      <c r="I104" s="56" t="n"/>
      <c r="J104" s="59" t="n"/>
      <c r="K104" s="59" t="n"/>
      <c r="L104" s="59" t="n"/>
      <c r="M104" s="28">
        <f>IF(A104&lt;&gt;"",IFERROR(SUMIF(Agenda!E:E,A104,Agenda!N:N),0),"")</f>
        <v/>
      </c>
      <c r="N104" s="54">
        <f>IF(A104&lt;&gt;"",IFERROR(COUNTIF(Agenda!E:E,A104),0),"")</f>
        <v/>
      </c>
      <c r="O104" s="56">
        <f>IF(A104&lt;&gt;"",IFERROR(MAXIFS(Agenda!C:C,Agenda!E:E,A104),""),"")</f>
        <v/>
      </c>
      <c r="P104" s="61" t="n"/>
    </row>
    <row r="105" ht="18" customHeight="1">
      <c r="A105" s="70" t="n"/>
      <c r="B105" s="70" t="n"/>
      <c r="C105" s="68" t="n"/>
      <c r="D105" s="71" t="n"/>
      <c r="E105" s="70" t="n"/>
      <c r="F105" s="74" t="n"/>
      <c r="G105" s="71" t="n"/>
      <c r="H105" s="73" t="n"/>
      <c r="I105" s="68" t="n"/>
      <c r="J105" s="71" t="n"/>
      <c r="K105" s="71" t="n"/>
      <c r="L105" s="71" t="n"/>
      <c r="M105" s="28">
        <f>IF(A105&lt;&gt;"",IFERROR(SUMIF(Agenda!E:E,A105,Agenda!N:N),0),"")</f>
        <v/>
      </c>
      <c r="N105" s="54">
        <f>IF(A105&lt;&gt;"",IFERROR(COUNTIF(Agenda!E:E,A105),0),"")</f>
        <v/>
      </c>
      <c r="O105" s="68">
        <f>IF(A105&lt;&gt;"",IFERROR(MAXIFS(Agenda!C:C,Agenda!E:E,A105),""),"")</f>
        <v/>
      </c>
      <c r="P105" s="73" t="n"/>
    </row>
    <row r="106" ht="18" customHeight="1">
      <c r="A106" s="58" t="n"/>
      <c r="B106" s="58" t="n"/>
      <c r="C106" s="56" t="n"/>
      <c r="D106" s="59" t="n"/>
      <c r="E106" s="58" t="n"/>
      <c r="F106" s="62" t="n"/>
      <c r="G106" s="59" t="n"/>
      <c r="H106" s="61" t="n"/>
      <c r="I106" s="56" t="n"/>
      <c r="J106" s="59" t="n"/>
      <c r="K106" s="59" t="n"/>
      <c r="L106" s="59" t="n"/>
      <c r="M106" s="28">
        <f>IF(A106&lt;&gt;"",IFERROR(SUMIF(Agenda!E:E,A106,Agenda!N:N),0),"")</f>
        <v/>
      </c>
      <c r="N106" s="54">
        <f>IF(A106&lt;&gt;"",IFERROR(COUNTIF(Agenda!E:E,A106),0),"")</f>
        <v/>
      </c>
      <c r="O106" s="56">
        <f>IF(A106&lt;&gt;"",IFERROR(MAXIFS(Agenda!C:C,Agenda!E:E,A106),""),"")</f>
        <v/>
      </c>
      <c r="P106" s="61" t="n"/>
    </row>
    <row r="107" ht="18" customHeight="1">
      <c r="A107" s="70" t="n"/>
      <c r="B107" s="70" t="n"/>
      <c r="C107" s="68" t="n"/>
      <c r="D107" s="71" t="n"/>
      <c r="E107" s="70" t="n"/>
      <c r="F107" s="74" t="n"/>
      <c r="G107" s="71" t="n"/>
      <c r="H107" s="73" t="n"/>
      <c r="I107" s="68" t="n"/>
      <c r="J107" s="71" t="n"/>
      <c r="K107" s="71" t="n"/>
      <c r="L107" s="71" t="n"/>
      <c r="M107" s="28">
        <f>IF(A107&lt;&gt;"",IFERROR(SUMIF(Agenda!E:E,A107,Agenda!N:N),0),"")</f>
        <v/>
      </c>
      <c r="N107" s="54">
        <f>IF(A107&lt;&gt;"",IFERROR(COUNTIF(Agenda!E:E,A107),0),"")</f>
        <v/>
      </c>
      <c r="O107" s="68">
        <f>IF(A107&lt;&gt;"",IFERROR(MAXIFS(Agenda!C:C,Agenda!E:E,A107),""),"")</f>
        <v/>
      </c>
      <c r="P107" s="73" t="n"/>
    </row>
    <row r="108" ht="18" customHeight="1">
      <c r="A108" s="58" t="n"/>
      <c r="B108" s="58" t="n"/>
      <c r="C108" s="56" t="n"/>
      <c r="D108" s="59" t="n"/>
      <c r="E108" s="58" t="n"/>
      <c r="F108" s="62" t="n"/>
      <c r="G108" s="59" t="n"/>
      <c r="H108" s="61" t="n"/>
      <c r="I108" s="56" t="n"/>
      <c r="J108" s="59" t="n"/>
      <c r="K108" s="59" t="n"/>
      <c r="L108" s="59" t="n"/>
      <c r="M108" s="28">
        <f>IF(A108&lt;&gt;"",IFERROR(SUMIF(Agenda!E:E,A108,Agenda!N:N),0),"")</f>
        <v/>
      </c>
      <c r="N108" s="54">
        <f>IF(A108&lt;&gt;"",IFERROR(COUNTIF(Agenda!E:E,A108),0),"")</f>
        <v/>
      </c>
      <c r="O108" s="56">
        <f>IF(A108&lt;&gt;"",IFERROR(MAXIFS(Agenda!C:C,Agenda!E:E,A108),""),"")</f>
        <v/>
      </c>
      <c r="P108" s="61" t="n"/>
    </row>
    <row r="109" ht="18" customHeight="1">
      <c r="A109" s="70" t="n"/>
      <c r="B109" s="70" t="n"/>
      <c r="C109" s="68" t="n"/>
      <c r="D109" s="71" t="n"/>
      <c r="E109" s="70" t="n"/>
      <c r="F109" s="74" t="n"/>
      <c r="G109" s="71" t="n"/>
      <c r="H109" s="73" t="n"/>
      <c r="I109" s="68" t="n"/>
      <c r="J109" s="71" t="n"/>
      <c r="K109" s="71" t="n"/>
      <c r="L109" s="71" t="n"/>
      <c r="M109" s="28">
        <f>IF(A109&lt;&gt;"",IFERROR(SUMIF(Agenda!E:E,A109,Agenda!N:N),0),"")</f>
        <v/>
      </c>
      <c r="N109" s="54">
        <f>IF(A109&lt;&gt;"",IFERROR(COUNTIF(Agenda!E:E,A109),0),"")</f>
        <v/>
      </c>
      <c r="O109" s="68">
        <f>IF(A109&lt;&gt;"",IFERROR(MAXIFS(Agenda!C:C,Agenda!E:E,A109),""),"")</f>
        <v/>
      </c>
      <c r="P109" s="73" t="n"/>
    </row>
    <row r="110" ht="18" customHeight="1">
      <c r="A110" s="58" t="n"/>
      <c r="B110" s="58" t="n"/>
      <c r="C110" s="56" t="n"/>
      <c r="D110" s="59" t="n"/>
      <c r="E110" s="58" t="n"/>
      <c r="F110" s="62" t="n"/>
      <c r="G110" s="59" t="n"/>
      <c r="H110" s="61" t="n"/>
      <c r="I110" s="56" t="n"/>
      <c r="J110" s="59" t="n"/>
      <c r="K110" s="59" t="n"/>
      <c r="L110" s="59" t="n"/>
      <c r="M110" s="28">
        <f>IF(A110&lt;&gt;"",IFERROR(SUMIF(Agenda!E:E,A110,Agenda!N:N),0),"")</f>
        <v/>
      </c>
      <c r="N110" s="54">
        <f>IF(A110&lt;&gt;"",IFERROR(COUNTIF(Agenda!E:E,A110),0),"")</f>
        <v/>
      </c>
      <c r="O110" s="56">
        <f>IF(A110&lt;&gt;"",IFERROR(MAXIFS(Agenda!C:C,Agenda!E:E,A110),""),"")</f>
        <v/>
      </c>
      <c r="P110" s="61" t="n"/>
    </row>
    <row r="111" ht="18" customHeight="1">
      <c r="A111" s="70" t="n"/>
      <c r="B111" s="70" t="n"/>
      <c r="C111" s="68" t="n"/>
      <c r="D111" s="71" t="n"/>
      <c r="E111" s="70" t="n"/>
      <c r="F111" s="74" t="n"/>
      <c r="G111" s="71" t="n"/>
      <c r="H111" s="73" t="n"/>
      <c r="I111" s="68" t="n"/>
      <c r="J111" s="71" t="n"/>
      <c r="K111" s="71" t="n"/>
      <c r="L111" s="71" t="n"/>
      <c r="M111" s="28">
        <f>IF(A111&lt;&gt;"",IFERROR(SUMIF(Agenda!E:E,A111,Agenda!N:N),0),"")</f>
        <v/>
      </c>
      <c r="N111" s="54">
        <f>IF(A111&lt;&gt;"",IFERROR(COUNTIF(Agenda!E:E,A111),0),"")</f>
        <v/>
      </c>
      <c r="O111" s="68">
        <f>IF(A111&lt;&gt;"",IFERROR(MAXIFS(Agenda!C:C,Agenda!E:E,A111),""),"")</f>
        <v/>
      </c>
      <c r="P111" s="73" t="n"/>
    </row>
    <row r="112" ht="18" customHeight="1">
      <c r="A112" s="58" t="n"/>
      <c r="B112" s="58" t="n"/>
      <c r="C112" s="56" t="n"/>
      <c r="D112" s="59" t="n"/>
      <c r="E112" s="58" t="n"/>
      <c r="F112" s="62" t="n"/>
      <c r="G112" s="59" t="n"/>
      <c r="H112" s="61" t="n"/>
      <c r="I112" s="56" t="n"/>
      <c r="J112" s="59" t="n"/>
      <c r="K112" s="59" t="n"/>
      <c r="L112" s="59" t="n"/>
      <c r="M112" s="28">
        <f>IF(A112&lt;&gt;"",IFERROR(SUMIF(Agenda!E:E,A112,Agenda!N:N),0),"")</f>
        <v/>
      </c>
      <c r="N112" s="54">
        <f>IF(A112&lt;&gt;"",IFERROR(COUNTIF(Agenda!E:E,A112),0),"")</f>
        <v/>
      </c>
      <c r="O112" s="56">
        <f>IF(A112&lt;&gt;"",IFERROR(MAXIFS(Agenda!C:C,Agenda!E:E,A112),""),"")</f>
        <v/>
      </c>
      <c r="P112" s="61" t="n"/>
    </row>
    <row r="113" ht="18" customHeight="1">
      <c r="A113" s="70" t="n"/>
      <c r="B113" s="70" t="n"/>
      <c r="C113" s="68" t="n"/>
      <c r="D113" s="71" t="n"/>
      <c r="E113" s="70" t="n"/>
      <c r="F113" s="74" t="n"/>
      <c r="G113" s="71" t="n"/>
      <c r="H113" s="73" t="n"/>
      <c r="I113" s="68" t="n"/>
      <c r="J113" s="71" t="n"/>
      <c r="K113" s="71" t="n"/>
      <c r="L113" s="71" t="n"/>
      <c r="M113" s="28">
        <f>IF(A113&lt;&gt;"",IFERROR(SUMIF(Agenda!E:E,A113,Agenda!N:N),0),"")</f>
        <v/>
      </c>
      <c r="N113" s="54">
        <f>IF(A113&lt;&gt;"",IFERROR(COUNTIF(Agenda!E:E,A113),0),"")</f>
        <v/>
      </c>
      <c r="O113" s="68">
        <f>IF(A113&lt;&gt;"",IFERROR(MAXIFS(Agenda!C:C,Agenda!E:E,A113),""),"")</f>
        <v/>
      </c>
      <c r="P113" s="73" t="n"/>
    </row>
    <row r="114" ht="18" customHeight="1">
      <c r="A114" s="58" t="n"/>
      <c r="B114" s="58" t="n"/>
      <c r="C114" s="56" t="n"/>
      <c r="D114" s="59" t="n"/>
      <c r="E114" s="58" t="n"/>
      <c r="F114" s="62" t="n"/>
      <c r="G114" s="59" t="n"/>
      <c r="H114" s="61" t="n"/>
      <c r="I114" s="56" t="n"/>
      <c r="J114" s="59" t="n"/>
      <c r="K114" s="59" t="n"/>
      <c r="L114" s="59" t="n"/>
      <c r="M114" s="28">
        <f>IF(A114&lt;&gt;"",IFERROR(SUMIF(Agenda!E:E,A114,Agenda!N:N),0),"")</f>
        <v/>
      </c>
      <c r="N114" s="54">
        <f>IF(A114&lt;&gt;"",IFERROR(COUNTIF(Agenda!E:E,A114),0),"")</f>
        <v/>
      </c>
      <c r="O114" s="56">
        <f>IF(A114&lt;&gt;"",IFERROR(MAXIFS(Agenda!C:C,Agenda!E:E,A114),""),"")</f>
        <v/>
      </c>
      <c r="P114" s="61" t="n"/>
    </row>
    <row r="115" ht="18" customHeight="1">
      <c r="A115" s="70" t="n"/>
      <c r="B115" s="70" t="n"/>
      <c r="C115" s="68" t="n"/>
      <c r="D115" s="71" t="n"/>
      <c r="E115" s="70" t="n"/>
      <c r="F115" s="74" t="n"/>
      <c r="G115" s="71" t="n"/>
      <c r="H115" s="73" t="n"/>
      <c r="I115" s="68" t="n"/>
      <c r="J115" s="71" t="n"/>
      <c r="K115" s="71" t="n"/>
      <c r="L115" s="71" t="n"/>
      <c r="M115" s="28">
        <f>IF(A115&lt;&gt;"",IFERROR(SUMIF(Agenda!E:E,A115,Agenda!N:N),0),"")</f>
        <v/>
      </c>
      <c r="N115" s="54">
        <f>IF(A115&lt;&gt;"",IFERROR(COUNTIF(Agenda!E:E,A115),0),"")</f>
        <v/>
      </c>
      <c r="O115" s="68">
        <f>IF(A115&lt;&gt;"",IFERROR(MAXIFS(Agenda!C:C,Agenda!E:E,A115),""),"")</f>
        <v/>
      </c>
      <c r="P115" s="73" t="n"/>
    </row>
    <row r="116" ht="18" customHeight="1">
      <c r="A116" s="58" t="n"/>
      <c r="B116" s="58" t="n"/>
      <c r="C116" s="56" t="n"/>
      <c r="D116" s="59" t="n"/>
      <c r="E116" s="58" t="n"/>
      <c r="F116" s="62" t="n"/>
      <c r="G116" s="59" t="n"/>
      <c r="H116" s="61" t="n"/>
      <c r="I116" s="56" t="n"/>
      <c r="J116" s="59" t="n"/>
      <c r="K116" s="59" t="n"/>
      <c r="L116" s="59" t="n"/>
      <c r="M116" s="28">
        <f>IF(A116&lt;&gt;"",IFERROR(SUMIF(Agenda!E:E,A116,Agenda!N:N),0),"")</f>
        <v/>
      </c>
      <c r="N116" s="54">
        <f>IF(A116&lt;&gt;"",IFERROR(COUNTIF(Agenda!E:E,A116),0),"")</f>
        <v/>
      </c>
      <c r="O116" s="56">
        <f>IF(A116&lt;&gt;"",IFERROR(MAXIFS(Agenda!C:C,Agenda!E:E,A116),""),"")</f>
        <v/>
      </c>
      <c r="P116" s="61" t="n"/>
    </row>
    <row r="117" ht="18" customHeight="1">
      <c r="A117" s="70" t="n"/>
      <c r="B117" s="70" t="n"/>
      <c r="C117" s="68" t="n"/>
      <c r="D117" s="71" t="n"/>
      <c r="E117" s="70" t="n"/>
      <c r="F117" s="74" t="n"/>
      <c r="G117" s="71" t="n"/>
      <c r="H117" s="73" t="n"/>
      <c r="I117" s="68" t="n"/>
      <c r="J117" s="71" t="n"/>
      <c r="K117" s="71" t="n"/>
      <c r="L117" s="71" t="n"/>
      <c r="M117" s="28">
        <f>IF(A117&lt;&gt;"",IFERROR(SUMIF(Agenda!E:E,A117,Agenda!N:N),0),"")</f>
        <v/>
      </c>
      <c r="N117" s="54">
        <f>IF(A117&lt;&gt;"",IFERROR(COUNTIF(Agenda!E:E,A117),0),"")</f>
        <v/>
      </c>
      <c r="O117" s="68">
        <f>IF(A117&lt;&gt;"",IFERROR(MAXIFS(Agenda!C:C,Agenda!E:E,A117),""),"")</f>
        <v/>
      </c>
      <c r="P117" s="73" t="n"/>
    </row>
    <row r="118" ht="18" customHeight="1">
      <c r="A118" s="58" t="n"/>
      <c r="B118" s="58" t="n"/>
      <c r="C118" s="56" t="n"/>
      <c r="D118" s="59" t="n"/>
      <c r="E118" s="58" t="n"/>
      <c r="F118" s="62" t="n"/>
      <c r="G118" s="59" t="n"/>
      <c r="H118" s="61" t="n"/>
      <c r="I118" s="56" t="n"/>
      <c r="J118" s="59" t="n"/>
      <c r="K118" s="59" t="n"/>
      <c r="L118" s="59" t="n"/>
      <c r="M118" s="28">
        <f>IF(A118&lt;&gt;"",IFERROR(SUMIF(Agenda!E:E,A118,Agenda!N:N),0),"")</f>
        <v/>
      </c>
      <c r="N118" s="54">
        <f>IF(A118&lt;&gt;"",IFERROR(COUNTIF(Agenda!E:E,A118),0),"")</f>
        <v/>
      </c>
      <c r="O118" s="56">
        <f>IF(A118&lt;&gt;"",IFERROR(MAXIFS(Agenda!C:C,Agenda!E:E,A118),""),"")</f>
        <v/>
      </c>
      <c r="P118" s="61" t="n"/>
    </row>
    <row r="119" ht="18" customHeight="1">
      <c r="A119" s="70" t="n"/>
      <c r="B119" s="70" t="n"/>
      <c r="C119" s="68" t="n"/>
      <c r="D119" s="71" t="n"/>
      <c r="E119" s="70" t="n"/>
      <c r="F119" s="74" t="n"/>
      <c r="G119" s="71" t="n"/>
      <c r="H119" s="73" t="n"/>
      <c r="I119" s="68" t="n"/>
      <c r="J119" s="71" t="n"/>
      <c r="K119" s="71" t="n"/>
      <c r="L119" s="71" t="n"/>
      <c r="M119" s="28">
        <f>IF(A119&lt;&gt;"",IFERROR(SUMIF(Agenda!E:E,A119,Agenda!N:N),0),"")</f>
        <v/>
      </c>
      <c r="N119" s="54">
        <f>IF(A119&lt;&gt;"",IFERROR(COUNTIF(Agenda!E:E,A119),0),"")</f>
        <v/>
      </c>
      <c r="O119" s="68">
        <f>IF(A119&lt;&gt;"",IFERROR(MAXIFS(Agenda!C:C,Agenda!E:E,A119),""),"")</f>
        <v/>
      </c>
      <c r="P119" s="73" t="n"/>
    </row>
    <row r="120" ht="18" customHeight="1">
      <c r="A120" s="58" t="n"/>
      <c r="B120" s="58" t="n"/>
      <c r="C120" s="56" t="n"/>
      <c r="D120" s="59" t="n"/>
      <c r="E120" s="58" t="n"/>
      <c r="F120" s="62" t="n"/>
      <c r="G120" s="59" t="n"/>
      <c r="H120" s="61" t="n"/>
      <c r="I120" s="56" t="n"/>
      <c r="J120" s="59" t="n"/>
      <c r="K120" s="59" t="n"/>
      <c r="L120" s="59" t="n"/>
      <c r="M120" s="28">
        <f>IF(A120&lt;&gt;"",IFERROR(SUMIF(Agenda!E:E,A120,Agenda!N:N),0),"")</f>
        <v/>
      </c>
      <c r="N120" s="54">
        <f>IF(A120&lt;&gt;"",IFERROR(COUNTIF(Agenda!E:E,A120),0),"")</f>
        <v/>
      </c>
      <c r="O120" s="56">
        <f>IF(A120&lt;&gt;"",IFERROR(MAXIFS(Agenda!C:C,Agenda!E:E,A120),""),"")</f>
        <v/>
      </c>
      <c r="P120" s="61" t="n"/>
    </row>
    <row r="121" ht="18" customHeight="1">
      <c r="A121" s="70" t="n"/>
      <c r="B121" s="70" t="n"/>
      <c r="C121" s="68" t="n"/>
      <c r="D121" s="71" t="n"/>
      <c r="E121" s="70" t="n"/>
      <c r="F121" s="74" t="n"/>
      <c r="G121" s="71" t="n"/>
      <c r="H121" s="73" t="n"/>
      <c r="I121" s="68" t="n"/>
      <c r="J121" s="71" t="n"/>
      <c r="K121" s="71" t="n"/>
      <c r="L121" s="71" t="n"/>
      <c r="M121" s="28">
        <f>IF(A121&lt;&gt;"",IFERROR(SUMIF(Agenda!E:E,A121,Agenda!N:N),0),"")</f>
        <v/>
      </c>
      <c r="N121" s="54">
        <f>IF(A121&lt;&gt;"",IFERROR(COUNTIF(Agenda!E:E,A121),0),"")</f>
        <v/>
      </c>
      <c r="O121" s="68">
        <f>IF(A121&lt;&gt;"",IFERROR(MAXIFS(Agenda!C:C,Agenda!E:E,A121),""),"")</f>
        <v/>
      </c>
      <c r="P121" s="73" t="n"/>
    </row>
    <row r="122" ht="18" customHeight="1">
      <c r="A122" s="58" t="n"/>
      <c r="B122" s="58" t="n"/>
      <c r="C122" s="56" t="n"/>
      <c r="D122" s="59" t="n"/>
      <c r="E122" s="58" t="n"/>
      <c r="F122" s="62" t="n"/>
      <c r="G122" s="59" t="n"/>
      <c r="H122" s="61" t="n"/>
      <c r="I122" s="56" t="n"/>
      <c r="J122" s="59" t="n"/>
      <c r="K122" s="59" t="n"/>
      <c r="L122" s="59" t="n"/>
      <c r="M122" s="28">
        <f>IF(A122&lt;&gt;"",IFERROR(SUMIF(Agenda!E:E,A122,Agenda!N:N),0),"")</f>
        <v/>
      </c>
      <c r="N122" s="54">
        <f>IF(A122&lt;&gt;"",IFERROR(COUNTIF(Agenda!E:E,A122),0),"")</f>
        <v/>
      </c>
      <c r="O122" s="56">
        <f>IF(A122&lt;&gt;"",IFERROR(MAXIFS(Agenda!C:C,Agenda!E:E,A122),""),"")</f>
        <v/>
      </c>
      <c r="P122" s="61" t="n"/>
    </row>
    <row r="123" ht="18" customHeight="1">
      <c r="A123" s="70" t="n"/>
      <c r="B123" s="70" t="n"/>
      <c r="C123" s="68" t="n"/>
      <c r="D123" s="71" t="n"/>
      <c r="E123" s="70" t="n"/>
      <c r="F123" s="74" t="n"/>
      <c r="G123" s="71" t="n"/>
      <c r="H123" s="73" t="n"/>
      <c r="I123" s="68" t="n"/>
      <c r="J123" s="71" t="n"/>
      <c r="K123" s="71" t="n"/>
      <c r="L123" s="71" t="n"/>
      <c r="M123" s="28">
        <f>IF(A123&lt;&gt;"",IFERROR(SUMIF(Agenda!E:E,A123,Agenda!N:N),0),"")</f>
        <v/>
      </c>
      <c r="N123" s="54">
        <f>IF(A123&lt;&gt;"",IFERROR(COUNTIF(Agenda!E:E,A123),0),"")</f>
        <v/>
      </c>
      <c r="O123" s="68">
        <f>IF(A123&lt;&gt;"",IFERROR(MAXIFS(Agenda!C:C,Agenda!E:E,A123),""),"")</f>
        <v/>
      </c>
      <c r="P123" s="73" t="n"/>
    </row>
    <row r="124" ht="18" customHeight="1">
      <c r="A124" s="58" t="n"/>
      <c r="B124" s="58" t="n"/>
      <c r="C124" s="56" t="n"/>
      <c r="D124" s="59" t="n"/>
      <c r="E124" s="58" t="n"/>
      <c r="F124" s="62" t="n"/>
      <c r="G124" s="59" t="n"/>
      <c r="H124" s="61" t="n"/>
      <c r="I124" s="56" t="n"/>
      <c r="J124" s="59" t="n"/>
      <c r="K124" s="59" t="n"/>
      <c r="L124" s="59" t="n"/>
      <c r="M124" s="28">
        <f>IF(A124&lt;&gt;"",IFERROR(SUMIF(Agenda!E:E,A124,Agenda!N:N),0),"")</f>
        <v/>
      </c>
      <c r="N124" s="54">
        <f>IF(A124&lt;&gt;"",IFERROR(COUNTIF(Agenda!E:E,A124),0),"")</f>
        <v/>
      </c>
      <c r="O124" s="56">
        <f>IF(A124&lt;&gt;"",IFERROR(MAXIFS(Agenda!C:C,Agenda!E:E,A124),""),"")</f>
        <v/>
      </c>
      <c r="P124" s="61" t="n"/>
    </row>
    <row r="125" ht="18" customHeight="1">
      <c r="A125" s="70" t="n"/>
      <c r="B125" s="70" t="n"/>
      <c r="C125" s="68" t="n"/>
      <c r="D125" s="71" t="n"/>
      <c r="E125" s="70" t="n"/>
      <c r="F125" s="74" t="n"/>
      <c r="G125" s="71" t="n"/>
      <c r="H125" s="73" t="n"/>
      <c r="I125" s="68" t="n"/>
      <c r="J125" s="71" t="n"/>
      <c r="K125" s="71" t="n"/>
      <c r="L125" s="71" t="n"/>
      <c r="M125" s="28">
        <f>IF(A125&lt;&gt;"",IFERROR(SUMIF(Agenda!E:E,A125,Agenda!N:N),0),"")</f>
        <v/>
      </c>
      <c r="N125" s="54">
        <f>IF(A125&lt;&gt;"",IFERROR(COUNTIF(Agenda!E:E,A125),0),"")</f>
        <v/>
      </c>
      <c r="O125" s="68">
        <f>IF(A125&lt;&gt;"",IFERROR(MAXIFS(Agenda!C:C,Agenda!E:E,A125),""),"")</f>
        <v/>
      </c>
      <c r="P125" s="73" t="n"/>
    </row>
    <row r="126" ht="18" customHeight="1">
      <c r="A126" s="58" t="n"/>
      <c r="B126" s="58" t="n"/>
      <c r="C126" s="56" t="n"/>
      <c r="D126" s="59" t="n"/>
      <c r="E126" s="58" t="n"/>
      <c r="F126" s="62" t="n"/>
      <c r="G126" s="59" t="n"/>
      <c r="H126" s="61" t="n"/>
      <c r="I126" s="56" t="n"/>
      <c r="J126" s="59" t="n"/>
      <c r="K126" s="59" t="n"/>
      <c r="L126" s="59" t="n"/>
      <c r="M126" s="28">
        <f>IF(A126&lt;&gt;"",IFERROR(SUMIF(Agenda!E:E,A126,Agenda!N:N),0),"")</f>
        <v/>
      </c>
      <c r="N126" s="54">
        <f>IF(A126&lt;&gt;"",IFERROR(COUNTIF(Agenda!E:E,A126),0),"")</f>
        <v/>
      </c>
      <c r="O126" s="56">
        <f>IF(A126&lt;&gt;"",IFERROR(MAXIFS(Agenda!C:C,Agenda!E:E,A126),""),"")</f>
        <v/>
      </c>
      <c r="P126" s="61" t="n"/>
    </row>
    <row r="127" ht="18" customHeight="1">
      <c r="A127" s="70" t="n"/>
      <c r="B127" s="70" t="n"/>
      <c r="C127" s="68" t="n"/>
      <c r="D127" s="71" t="n"/>
      <c r="E127" s="70" t="n"/>
      <c r="F127" s="74" t="n"/>
      <c r="G127" s="71" t="n"/>
      <c r="H127" s="73" t="n"/>
      <c r="I127" s="68" t="n"/>
      <c r="J127" s="71" t="n"/>
      <c r="K127" s="71" t="n"/>
      <c r="L127" s="71" t="n"/>
      <c r="M127" s="28">
        <f>IF(A127&lt;&gt;"",IFERROR(SUMIF(Agenda!E:E,A127,Agenda!N:N),0),"")</f>
        <v/>
      </c>
      <c r="N127" s="54">
        <f>IF(A127&lt;&gt;"",IFERROR(COUNTIF(Agenda!E:E,A127),0),"")</f>
        <v/>
      </c>
      <c r="O127" s="68">
        <f>IF(A127&lt;&gt;"",IFERROR(MAXIFS(Agenda!C:C,Agenda!E:E,A127),""),"")</f>
        <v/>
      </c>
      <c r="P127" s="73" t="n"/>
    </row>
    <row r="128" ht="18" customHeight="1">
      <c r="A128" s="58" t="n"/>
      <c r="B128" s="58" t="n"/>
      <c r="C128" s="56" t="n"/>
      <c r="D128" s="59" t="n"/>
      <c r="E128" s="58" t="n"/>
      <c r="F128" s="62" t="n"/>
      <c r="G128" s="59" t="n"/>
      <c r="H128" s="61" t="n"/>
      <c r="I128" s="56" t="n"/>
      <c r="J128" s="59" t="n"/>
      <c r="K128" s="59" t="n"/>
      <c r="L128" s="59" t="n"/>
      <c r="M128" s="28">
        <f>IF(A128&lt;&gt;"",IFERROR(SUMIF(Agenda!E:E,A128,Agenda!N:N),0),"")</f>
        <v/>
      </c>
      <c r="N128" s="54">
        <f>IF(A128&lt;&gt;"",IFERROR(COUNTIF(Agenda!E:E,A128),0),"")</f>
        <v/>
      </c>
      <c r="O128" s="56">
        <f>IF(A128&lt;&gt;"",IFERROR(MAXIFS(Agenda!C:C,Agenda!E:E,A128),""),"")</f>
        <v/>
      </c>
      <c r="P128" s="61" t="n"/>
    </row>
    <row r="129" ht="18" customHeight="1">
      <c r="A129" s="70" t="n"/>
      <c r="B129" s="70" t="n"/>
      <c r="C129" s="68" t="n"/>
      <c r="D129" s="71" t="n"/>
      <c r="E129" s="70" t="n"/>
      <c r="F129" s="74" t="n"/>
      <c r="G129" s="71" t="n"/>
      <c r="H129" s="73" t="n"/>
      <c r="I129" s="68" t="n"/>
      <c r="J129" s="71" t="n"/>
      <c r="K129" s="71" t="n"/>
      <c r="L129" s="71" t="n"/>
      <c r="M129" s="28">
        <f>IF(A129&lt;&gt;"",IFERROR(SUMIF(Agenda!E:E,A129,Agenda!N:N),0),"")</f>
        <v/>
      </c>
      <c r="N129" s="54">
        <f>IF(A129&lt;&gt;"",IFERROR(COUNTIF(Agenda!E:E,A129),0),"")</f>
        <v/>
      </c>
      <c r="O129" s="68">
        <f>IF(A129&lt;&gt;"",IFERROR(MAXIFS(Agenda!C:C,Agenda!E:E,A129),""),"")</f>
        <v/>
      </c>
      <c r="P129" s="73" t="n"/>
    </row>
    <row r="130" ht="18" customHeight="1">
      <c r="A130" s="58" t="n"/>
      <c r="B130" s="58" t="n"/>
      <c r="C130" s="56" t="n"/>
      <c r="D130" s="59" t="n"/>
      <c r="E130" s="58" t="n"/>
      <c r="F130" s="62" t="n"/>
      <c r="G130" s="59" t="n"/>
      <c r="H130" s="61" t="n"/>
      <c r="I130" s="56" t="n"/>
      <c r="J130" s="59" t="n"/>
      <c r="K130" s="59" t="n"/>
      <c r="L130" s="59" t="n"/>
      <c r="M130" s="28">
        <f>IF(A130&lt;&gt;"",IFERROR(SUMIF(Agenda!E:E,A130,Agenda!N:N),0),"")</f>
        <v/>
      </c>
      <c r="N130" s="54">
        <f>IF(A130&lt;&gt;"",IFERROR(COUNTIF(Agenda!E:E,A130),0),"")</f>
        <v/>
      </c>
      <c r="O130" s="56">
        <f>IF(A130&lt;&gt;"",IFERROR(MAXIFS(Agenda!C:C,Agenda!E:E,A130),""),"")</f>
        <v/>
      </c>
      <c r="P130" s="61" t="n"/>
    </row>
    <row r="131" ht="18" customHeight="1">
      <c r="A131" s="70" t="n"/>
      <c r="B131" s="70" t="n"/>
      <c r="C131" s="68" t="n"/>
      <c r="D131" s="71" t="n"/>
      <c r="E131" s="70" t="n"/>
      <c r="F131" s="74" t="n"/>
      <c r="G131" s="71" t="n"/>
      <c r="H131" s="73" t="n"/>
      <c r="I131" s="68" t="n"/>
      <c r="J131" s="71" t="n"/>
      <c r="K131" s="71" t="n"/>
      <c r="L131" s="71" t="n"/>
      <c r="M131" s="28">
        <f>IF(A131&lt;&gt;"",IFERROR(SUMIF(Agenda!E:E,A131,Agenda!N:N),0),"")</f>
        <v/>
      </c>
      <c r="N131" s="54">
        <f>IF(A131&lt;&gt;"",IFERROR(COUNTIF(Agenda!E:E,A131),0),"")</f>
        <v/>
      </c>
      <c r="O131" s="68">
        <f>IF(A131&lt;&gt;"",IFERROR(MAXIFS(Agenda!C:C,Agenda!E:E,A131),""),"")</f>
        <v/>
      </c>
      <c r="P131" s="73" t="n"/>
    </row>
    <row r="132" ht="18" customHeight="1">
      <c r="A132" s="58" t="n"/>
      <c r="B132" s="58" t="n"/>
      <c r="C132" s="56" t="n"/>
      <c r="D132" s="59" t="n"/>
      <c r="E132" s="58" t="n"/>
      <c r="F132" s="62" t="n"/>
      <c r="G132" s="59" t="n"/>
      <c r="H132" s="61" t="n"/>
      <c r="I132" s="56" t="n"/>
      <c r="J132" s="59" t="n"/>
      <c r="K132" s="59" t="n"/>
      <c r="L132" s="59" t="n"/>
      <c r="M132" s="28">
        <f>IF(A132&lt;&gt;"",IFERROR(SUMIF(Agenda!E:E,A132,Agenda!N:N),0),"")</f>
        <v/>
      </c>
      <c r="N132" s="54">
        <f>IF(A132&lt;&gt;"",IFERROR(COUNTIF(Agenda!E:E,A132),0),"")</f>
        <v/>
      </c>
      <c r="O132" s="56">
        <f>IF(A132&lt;&gt;"",IFERROR(MAXIFS(Agenda!C:C,Agenda!E:E,A132),""),"")</f>
        <v/>
      </c>
      <c r="P132" s="61" t="n"/>
    </row>
    <row r="133" ht="18" customHeight="1">
      <c r="A133" s="70" t="n"/>
      <c r="B133" s="70" t="n"/>
      <c r="C133" s="68" t="n"/>
      <c r="D133" s="71" t="n"/>
      <c r="E133" s="70" t="n"/>
      <c r="F133" s="74" t="n"/>
      <c r="G133" s="71" t="n"/>
      <c r="H133" s="73" t="n"/>
      <c r="I133" s="68" t="n"/>
      <c r="J133" s="71" t="n"/>
      <c r="K133" s="71" t="n"/>
      <c r="L133" s="71" t="n"/>
      <c r="M133" s="28">
        <f>IF(A133&lt;&gt;"",IFERROR(SUMIF(Agenda!E:E,A133,Agenda!N:N),0),"")</f>
        <v/>
      </c>
      <c r="N133" s="54">
        <f>IF(A133&lt;&gt;"",IFERROR(COUNTIF(Agenda!E:E,A133),0),"")</f>
        <v/>
      </c>
      <c r="O133" s="68">
        <f>IF(A133&lt;&gt;"",IFERROR(MAXIFS(Agenda!C:C,Agenda!E:E,A133),""),"")</f>
        <v/>
      </c>
      <c r="P133" s="73" t="n"/>
    </row>
    <row r="134" ht="18" customHeight="1">
      <c r="A134" s="58" t="n"/>
      <c r="B134" s="58" t="n"/>
      <c r="C134" s="56" t="n"/>
      <c r="D134" s="59" t="n"/>
      <c r="E134" s="58" t="n"/>
      <c r="F134" s="62" t="n"/>
      <c r="G134" s="59" t="n"/>
      <c r="H134" s="61" t="n"/>
      <c r="I134" s="56" t="n"/>
      <c r="J134" s="59" t="n"/>
      <c r="K134" s="59" t="n"/>
      <c r="L134" s="59" t="n"/>
      <c r="M134" s="28">
        <f>IF(A134&lt;&gt;"",IFERROR(SUMIF(Agenda!E:E,A134,Agenda!N:N),0),"")</f>
        <v/>
      </c>
      <c r="N134" s="54">
        <f>IF(A134&lt;&gt;"",IFERROR(COUNTIF(Agenda!E:E,A134),0),"")</f>
        <v/>
      </c>
      <c r="O134" s="56">
        <f>IF(A134&lt;&gt;"",IFERROR(MAXIFS(Agenda!C:C,Agenda!E:E,A134),""),"")</f>
        <v/>
      </c>
      <c r="P134" s="61" t="n"/>
    </row>
    <row r="135" ht="18" customHeight="1">
      <c r="A135" s="70" t="n"/>
      <c r="B135" s="70" t="n"/>
      <c r="C135" s="68" t="n"/>
      <c r="D135" s="71" t="n"/>
      <c r="E135" s="70" t="n"/>
      <c r="F135" s="74" t="n"/>
      <c r="G135" s="71" t="n"/>
      <c r="H135" s="73" t="n"/>
      <c r="I135" s="68" t="n"/>
      <c r="J135" s="71" t="n"/>
      <c r="K135" s="71" t="n"/>
      <c r="L135" s="71" t="n"/>
      <c r="M135" s="28">
        <f>IF(A135&lt;&gt;"",IFERROR(SUMIF(Agenda!E:E,A135,Agenda!N:N),0),"")</f>
        <v/>
      </c>
      <c r="N135" s="54">
        <f>IF(A135&lt;&gt;"",IFERROR(COUNTIF(Agenda!E:E,A135),0),"")</f>
        <v/>
      </c>
      <c r="O135" s="68">
        <f>IF(A135&lt;&gt;"",IFERROR(MAXIFS(Agenda!C:C,Agenda!E:E,A135),""),"")</f>
        <v/>
      </c>
      <c r="P135" s="73" t="n"/>
    </row>
    <row r="136" ht="18" customHeight="1">
      <c r="A136" s="58" t="n"/>
      <c r="B136" s="58" t="n"/>
      <c r="C136" s="56" t="n"/>
      <c r="D136" s="59" t="n"/>
      <c r="E136" s="58" t="n"/>
      <c r="F136" s="62" t="n"/>
      <c r="G136" s="59" t="n"/>
      <c r="H136" s="61" t="n"/>
      <c r="I136" s="56" t="n"/>
      <c r="J136" s="59" t="n"/>
      <c r="K136" s="59" t="n"/>
      <c r="L136" s="59" t="n"/>
      <c r="M136" s="28">
        <f>IF(A136&lt;&gt;"",IFERROR(SUMIF(Agenda!E:E,A136,Agenda!N:N),0),"")</f>
        <v/>
      </c>
      <c r="N136" s="54">
        <f>IF(A136&lt;&gt;"",IFERROR(COUNTIF(Agenda!E:E,A136),0),"")</f>
        <v/>
      </c>
      <c r="O136" s="56">
        <f>IF(A136&lt;&gt;"",IFERROR(MAXIFS(Agenda!C:C,Agenda!E:E,A136),""),"")</f>
        <v/>
      </c>
      <c r="P136" s="61" t="n"/>
    </row>
    <row r="137" ht="18" customHeight="1">
      <c r="A137" s="70" t="n"/>
      <c r="B137" s="70" t="n"/>
      <c r="C137" s="68" t="n"/>
      <c r="D137" s="71" t="n"/>
      <c r="E137" s="70" t="n"/>
      <c r="F137" s="74" t="n"/>
      <c r="G137" s="71" t="n"/>
      <c r="H137" s="73" t="n"/>
      <c r="I137" s="68" t="n"/>
      <c r="J137" s="71" t="n"/>
      <c r="K137" s="71" t="n"/>
      <c r="L137" s="71" t="n"/>
      <c r="M137" s="28">
        <f>IF(A137&lt;&gt;"",IFERROR(SUMIF(Agenda!E:E,A137,Agenda!N:N),0),"")</f>
        <v/>
      </c>
      <c r="N137" s="54">
        <f>IF(A137&lt;&gt;"",IFERROR(COUNTIF(Agenda!E:E,A137),0),"")</f>
        <v/>
      </c>
      <c r="O137" s="68">
        <f>IF(A137&lt;&gt;"",IFERROR(MAXIFS(Agenda!C:C,Agenda!E:E,A137),""),"")</f>
        <v/>
      </c>
      <c r="P137" s="73" t="n"/>
    </row>
    <row r="138" ht="18" customHeight="1">
      <c r="A138" s="58" t="n"/>
      <c r="B138" s="58" t="n"/>
      <c r="C138" s="56" t="n"/>
      <c r="D138" s="59" t="n"/>
      <c r="E138" s="58" t="n"/>
      <c r="F138" s="62" t="n"/>
      <c r="G138" s="59" t="n"/>
      <c r="H138" s="61" t="n"/>
      <c r="I138" s="56" t="n"/>
      <c r="J138" s="59" t="n"/>
      <c r="K138" s="59" t="n"/>
      <c r="L138" s="59" t="n"/>
      <c r="M138" s="28">
        <f>IF(A138&lt;&gt;"",IFERROR(SUMIF(Agenda!E:E,A138,Agenda!N:N),0),"")</f>
        <v/>
      </c>
      <c r="N138" s="54">
        <f>IF(A138&lt;&gt;"",IFERROR(COUNTIF(Agenda!E:E,A138),0),"")</f>
        <v/>
      </c>
      <c r="O138" s="56">
        <f>IF(A138&lt;&gt;"",IFERROR(MAXIFS(Agenda!C:C,Agenda!E:E,A138),""),"")</f>
        <v/>
      </c>
      <c r="P138" s="61" t="n"/>
    </row>
    <row r="139" ht="18" customHeight="1">
      <c r="A139" s="70" t="n"/>
      <c r="B139" s="70" t="n"/>
      <c r="C139" s="68" t="n"/>
      <c r="D139" s="71" t="n"/>
      <c r="E139" s="70" t="n"/>
      <c r="F139" s="74" t="n"/>
      <c r="G139" s="71" t="n"/>
      <c r="H139" s="73" t="n"/>
      <c r="I139" s="68" t="n"/>
      <c r="J139" s="71" t="n"/>
      <c r="K139" s="71" t="n"/>
      <c r="L139" s="71" t="n"/>
      <c r="M139" s="28">
        <f>IF(A139&lt;&gt;"",IFERROR(SUMIF(Agenda!E:E,A139,Agenda!N:N),0),"")</f>
        <v/>
      </c>
      <c r="N139" s="54">
        <f>IF(A139&lt;&gt;"",IFERROR(COUNTIF(Agenda!E:E,A139),0),"")</f>
        <v/>
      </c>
      <c r="O139" s="68">
        <f>IF(A139&lt;&gt;"",IFERROR(MAXIFS(Agenda!C:C,Agenda!E:E,A139),""),"")</f>
        <v/>
      </c>
      <c r="P139" s="73" t="n"/>
    </row>
    <row r="140" ht="18" customHeight="1">
      <c r="A140" s="58" t="n"/>
      <c r="B140" s="58" t="n"/>
      <c r="C140" s="56" t="n"/>
      <c r="D140" s="59" t="n"/>
      <c r="E140" s="58" t="n"/>
      <c r="F140" s="62" t="n"/>
      <c r="G140" s="59" t="n"/>
      <c r="H140" s="61" t="n"/>
      <c r="I140" s="56" t="n"/>
      <c r="J140" s="59" t="n"/>
      <c r="K140" s="59" t="n"/>
      <c r="L140" s="59" t="n"/>
      <c r="M140" s="28">
        <f>IF(A140&lt;&gt;"",IFERROR(SUMIF(Agenda!E:E,A140,Agenda!N:N),0),"")</f>
        <v/>
      </c>
      <c r="N140" s="54">
        <f>IF(A140&lt;&gt;"",IFERROR(COUNTIF(Agenda!E:E,A140),0),"")</f>
        <v/>
      </c>
      <c r="O140" s="56">
        <f>IF(A140&lt;&gt;"",IFERROR(MAXIFS(Agenda!C:C,Agenda!E:E,A140),""),"")</f>
        <v/>
      </c>
      <c r="P140" s="61" t="n"/>
    </row>
    <row r="141" ht="18" customHeight="1">
      <c r="A141" s="70" t="n"/>
      <c r="B141" s="70" t="n"/>
      <c r="C141" s="68" t="n"/>
      <c r="D141" s="71" t="n"/>
      <c r="E141" s="70" t="n"/>
      <c r="F141" s="74" t="n"/>
      <c r="G141" s="71" t="n"/>
      <c r="H141" s="73" t="n"/>
      <c r="I141" s="68" t="n"/>
      <c r="J141" s="71" t="n"/>
      <c r="K141" s="71" t="n"/>
      <c r="L141" s="71" t="n"/>
      <c r="M141" s="28">
        <f>IF(A141&lt;&gt;"",IFERROR(SUMIF(Agenda!E:E,A141,Agenda!N:N),0),"")</f>
        <v/>
      </c>
      <c r="N141" s="54">
        <f>IF(A141&lt;&gt;"",IFERROR(COUNTIF(Agenda!E:E,A141),0),"")</f>
        <v/>
      </c>
      <c r="O141" s="68">
        <f>IF(A141&lt;&gt;"",IFERROR(MAXIFS(Agenda!C:C,Agenda!E:E,A141),""),"")</f>
        <v/>
      </c>
      <c r="P141" s="73" t="n"/>
    </row>
    <row r="142" ht="18" customHeight="1">
      <c r="A142" s="58" t="n"/>
      <c r="B142" s="58" t="n"/>
      <c r="C142" s="56" t="n"/>
      <c r="D142" s="59" t="n"/>
      <c r="E142" s="58" t="n"/>
      <c r="F142" s="62" t="n"/>
      <c r="G142" s="59" t="n"/>
      <c r="H142" s="61" t="n"/>
      <c r="I142" s="56" t="n"/>
      <c r="J142" s="59" t="n"/>
      <c r="K142" s="59" t="n"/>
      <c r="L142" s="59" t="n"/>
      <c r="M142" s="28">
        <f>IF(A142&lt;&gt;"",IFERROR(SUMIF(Agenda!E:E,A142,Agenda!N:N),0),"")</f>
        <v/>
      </c>
      <c r="N142" s="54">
        <f>IF(A142&lt;&gt;"",IFERROR(COUNTIF(Agenda!E:E,A142),0),"")</f>
        <v/>
      </c>
      <c r="O142" s="56">
        <f>IF(A142&lt;&gt;"",IFERROR(MAXIFS(Agenda!C:C,Agenda!E:E,A142),""),"")</f>
        <v/>
      </c>
      <c r="P142" s="61" t="n"/>
    </row>
    <row r="143" ht="18" customHeight="1">
      <c r="A143" s="70" t="n"/>
      <c r="B143" s="70" t="n"/>
      <c r="C143" s="68" t="n"/>
      <c r="D143" s="71" t="n"/>
      <c r="E143" s="70" t="n"/>
      <c r="F143" s="74" t="n"/>
      <c r="G143" s="71" t="n"/>
      <c r="H143" s="73" t="n"/>
      <c r="I143" s="68" t="n"/>
      <c r="J143" s="71" t="n"/>
      <c r="K143" s="71" t="n"/>
      <c r="L143" s="71" t="n"/>
      <c r="M143" s="28">
        <f>IF(A143&lt;&gt;"",IFERROR(SUMIF(Agenda!E:E,A143,Agenda!N:N),0),"")</f>
        <v/>
      </c>
      <c r="N143" s="54">
        <f>IF(A143&lt;&gt;"",IFERROR(COUNTIF(Agenda!E:E,A143),0),"")</f>
        <v/>
      </c>
      <c r="O143" s="68">
        <f>IF(A143&lt;&gt;"",IFERROR(MAXIFS(Agenda!C:C,Agenda!E:E,A143),""),"")</f>
        <v/>
      </c>
      <c r="P143" s="73" t="n"/>
    </row>
    <row r="144" ht="18" customHeight="1">
      <c r="A144" s="58" t="n"/>
      <c r="B144" s="58" t="n"/>
      <c r="C144" s="56" t="n"/>
      <c r="D144" s="59" t="n"/>
      <c r="E144" s="58" t="n"/>
      <c r="F144" s="62" t="n"/>
      <c r="G144" s="59" t="n"/>
      <c r="H144" s="61" t="n"/>
      <c r="I144" s="56" t="n"/>
      <c r="J144" s="59" t="n"/>
      <c r="K144" s="59" t="n"/>
      <c r="L144" s="59" t="n"/>
      <c r="M144" s="28">
        <f>IF(A144&lt;&gt;"",IFERROR(SUMIF(Agenda!E:E,A144,Agenda!N:N),0),"")</f>
        <v/>
      </c>
      <c r="N144" s="54">
        <f>IF(A144&lt;&gt;"",IFERROR(COUNTIF(Agenda!E:E,A144),0),"")</f>
        <v/>
      </c>
      <c r="O144" s="56">
        <f>IF(A144&lt;&gt;"",IFERROR(MAXIFS(Agenda!C:C,Agenda!E:E,A144),""),"")</f>
        <v/>
      </c>
      <c r="P144" s="61" t="n"/>
    </row>
    <row r="145" ht="18" customHeight="1">
      <c r="A145" s="70" t="n"/>
      <c r="B145" s="70" t="n"/>
      <c r="C145" s="68" t="n"/>
      <c r="D145" s="71" t="n"/>
      <c r="E145" s="70" t="n"/>
      <c r="F145" s="74" t="n"/>
      <c r="G145" s="71" t="n"/>
      <c r="H145" s="73" t="n"/>
      <c r="I145" s="68" t="n"/>
      <c r="J145" s="71" t="n"/>
      <c r="K145" s="71" t="n"/>
      <c r="L145" s="71" t="n"/>
      <c r="M145" s="28">
        <f>IF(A145&lt;&gt;"",IFERROR(SUMIF(Agenda!E:E,A145,Agenda!N:N),0),"")</f>
        <v/>
      </c>
      <c r="N145" s="54">
        <f>IF(A145&lt;&gt;"",IFERROR(COUNTIF(Agenda!E:E,A145),0),"")</f>
        <v/>
      </c>
      <c r="O145" s="68">
        <f>IF(A145&lt;&gt;"",IFERROR(MAXIFS(Agenda!C:C,Agenda!E:E,A145),""),"")</f>
        <v/>
      </c>
      <c r="P145" s="73" t="n"/>
    </row>
    <row r="146" ht="18" customHeight="1">
      <c r="A146" s="58" t="n"/>
      <c r="B146" s="58" t="n"/>
      <c r="C146" s="56" t="n"/>
      <c r="D146" s="59" t="n"/>
      <c r="E146" s="58" t="n"/>
      <c r="F146" s="62" t="n"/>
      <c r="G146" s="59" t="n"/>
      <c r="H146" s="61" t="n"/>
      <c r="I146" s="56" t="n"/>
      <c r="J146" s="59" t="n"/>
      <c r="K146" s="59" t="n"/>
      <c r="L146" s="59" t="n"/>
      <c r="M146" s="28">
        <f>IF(A146&lt;&gt;"",IFERROR(SUMIF(Agenda!E:E,A146,Agenda!N:N),0),"")</f>
        <v/>
      </c>
      <c r="N146" s="54">
        <f>IF(A146&lt;&gt;"",IFERROR(COUNTIF(Agenda!E:E,A146),0),"")</f>
        <v/>
      </c>
      <c r="O146" s="56">
        <f>IF(A146&lt;&gt;"",IFERROR(MAXIFS(Agenda!C:C,Agenda!E:E,A146),""),"")</f>
        <v/>
      </c>
      <c r="P146" s="61" t="n"/>
    </row>
    <row r="147" ht="18" customHeight="1">
      <c r="A147" s="70" t="n"/>
      <c r="B147" s="70" t="n"/>
      <c r="C147" s="68" t="n"/>
      <c r="D147" s="71" t="n"/>
      <c r="E147" s="70" t="n"/>
      <c r="F147" s="74" t="n"/>
      <c r="G147" s="71" t="n"/>
      <c r="H147" s="73" t="n"/>
      <c r="I147" s="68" t="n"/>
      <c r="J147" s="71" t="n"/>
      <c r="K147" s="71" t="n"/>
      <c r="L147" s="71" t="n"/>
      <c r="M147" s="28">
        <f>IF(A147&lt;&gt;"",IFERROR(SUMIF(Agenda!E:E,A147,Agenda!N:N),0),"")</f>
        <v/>
      </c>
      <c r="N147" s="54">
        <f>IF(A147&lt;&gt;"",IFERROR(COUNTIF(Agenda!E:E,A147),0),"")</f>
        <v/>
      </c>
      <c r="O147" s="68">
        <f>IF(A147&lt;&gt;"",IFERROR(MAXIFS(Agenda!C:C,Agenda!E:E,A147),""),"")</f>
        <v/>
      </c>
      <c r="P147" s="73" t="n"/>
    </row>
    <row r="148" ht="18" customHeight="1">
      <c r="A148" s="58" t="n"/>
      <c r="B148" s="58" t="n"/>
      <c r="C148" s="56" t="n"/>
      <c r="D148" s="59" t="n"/>
      <c r="E148" s="58" t="n"/>
      <c r="F148" s="62" t="n"/>
      <c r="G148" s="59" t="n"/>
      <c r="H148" s="61" t="n"/>
      <c r="I148" s="56" t="n"/>
      <c r="J148" s="59" t="n"/>
      <c r="K148" s="59" t="n"/>
      <c r="L148" s="59" t="n"/>
      <c r="M148" s="28">
        <f>IF(A148&lt;&gt;"",IFERROR(SUMIF(Agenda!E:E,A148,Agenda!N:N),0),"")</f>
        <v/>
      </c>
      <c r="N148" s="54">
        <f>IF(A148&lt;&gt;"",IFERROR(COUNTIF(Agenda!E:E,A148),0),"")</f>
        <v/>
      </c>
      <c r="O148" s="56">
        <f>IF(A148&lt;&gt;"",IFERROR(MAXIFS(Agenda!C:C,Agenda!E:E,A148),""),"")</f>
        <v/>
      </c>
      <c r="P148" s="61" t="n"/>
    </row>
    <row r="149" ht="18" customHeight="1">
      <c r="A149" s="70" t="n"/>
      <c r="B149" s="70" t="n"/>
      <c r="C149" s="68" t="n"/>
      <c r="D149" s="71" t="n"/>
      <c r="E149" s="70" t="n"/>
      <c r="F149" s="74" t="n"/>
      <c r="G149" s="71" t="n"/>
      <c r="H149" s="73" t="n"/>
      <c r="I149" s="68" t="n"/>
      <c r="J149" s="71" t="n"/>
      <c r="K149" s="71" t="n"/>
      <c r="L149" s="71" t="n"/>
      <c r="M149" s="28">
        <f>IF(A149&lt;&gt;"",IFERROR(SUMIF(Agenda!E:E,A149,Agenda!N:N),0),"")</f>
        <v/>
      </c>
      <c r="N149" s="54">
        <f>IF(A149&lt;&gt;"",IFERROR(COUNTIF(Agenda!E:E,A149),0),"")</f>
        <v/>
      </c>
      <c r="O149" s="68">
        <f>IF(A149&lt;&gt;"",IFERROR(MAXIFS(Agenda!C:C,Agenda!E:E,A149),""),"")</f>
        <v/>
      </c>
      <c r="P149" s="73" t="n"/>
    </row>
    <row r="150" ht="18" customHeight="1">
      <c r="A150" s="58" t="n"/>
      <c r="B150" s="58" t="n"/>
      <c r="C150" s="56" t="n"/>
      <c r="D150" s="59" t="n"/>
      <c r="E150" s="58" t="n"/>
      <c r="F150" s="62" t="n"/>
      <c r="G150" s="59" t="n"/>
      <c r="H150" s="61" t="n"/>
      <c r="I150" s="56" t="n"/>
      <c r="J150" s="59" t="n"/>
      <c r="K150" s="59" t="n"/>
      <c r="L150" s="59" t="n"/>
      <c r="M150" s="28">
        <f>IF(A150&lt;&gt;"",IFERROR(SUMIF(Agenda!E:E,A150,Agenda!N:N),0),"")</f>
        <v/>
      </c>
      <c r="N150" s="54">
        <f>IF(A150&lt;&gt;"",IFERROR(COUNTIF(Agenda!E:E,A150),0),"")</f>
        <v/>
      </c>
      <c r="O150" s="56">
        <f>IF(A150&lt;&gt;"",IFERROR(MAXIFS(Agenda!C:C,Agenda!E:E,A150),""),"")</f>
        <v/>
      </c>
      <c r="P150" s="61" t="n"/>
    </row>
    <row r="151" ht="18" customHeight="1">
      <c r="A151" s="70" t="n"/>
      <c r="B151" s="70" t="n"/>
      <c r="C151" s="68" t="n"/>
      <c r="D151" s="71" t="n"/>
      <c r="E151" s="70" t="n"/>
      <c r="F151" s="74" t="n"/>
      <c r="G151" s="71" t="n"/>
      <c r="H151" s="73" t="n"/>
      <c r="I151" s="68" t="n"/>
      <c r="J151" s="71" t="n"/>
      <c r="K151" s="71" t="n"/>
      <c r="L151" s="71" t="n"/>
      <c r="M151" s="28">
        <f>IF(A151&lt;&gt;"",IFERROR(SUMIF(Agenda!E:E,A151,Agenda!N:N),0),"")</f>
        <v/>
      </c>
      <c r="N151" s="54">
        <f>IF(A151&lt;&gt;"",IFERROR(COUNTIF(Agenda!E:E,A151),0),"")</f>
        <v/>
      </c>
      <c r="O151" s="68">
        <f>IF(A151&lt;&gt;"",IFERROR(MAXIFS(Agenda!C:C,Agenda!E:E,A151),""),"")</f>
        <v/>
      </c>
      <c r="P151" s="73" t="n"/>
    </row>
    <row r="152" ht="18" customHeight="1">
      <c r="A152" s="58" t="n"/>
      <c r="B152" s="58" t="n"/>
      <c r="C152" s="56" t="n"/>
      <c r="D152" s="59" t="n"/>
      <c r="E152" s="58" t="n"/>
      <c r="F152" s="62" t="n"/>
      <c r="G152" s="59" t="n"/>
      <c r="H152" s="61" t="n"/>
      <c r="I152" s="56" t="n"/>
      <c r="J152" s="59" t="n"/>
      <c r="K152" s="59" t="n"/>
      <c r="L152" s="59" t="n"/>
      <c r="M152" s="28">
        <f>IF(A152&lt;&gt;"",IFERROR(SUMIF(Agenda!E:E,A152,Agenda!N:N),0),"")</f>
        <v/>
      </c>
      <c r="N152" s="54">
        <f>IF(A152&lt;&gt;"",IFERROR(COUNTIF(Agenda!E:E,A152),0),"")</f>
        <v/>
      </c>
      <c r="O152" s="56">
        <f>IF(A152&lt;&gt;"",IFERROR(MAXIFS(Agenda!C:C,Agenda!E:E,A152),""),"")</f>
        <v/>
      </c>
      <c r="P152" s="61" t="n"/>
    </row>
    <row r="153" ht="18" customHeight="1">
      <c r="A153" s="70" t="n"/>
      <c r="B153" s="70" t="n"/>
      <c r="C153" s="68" t="n"/>
      <c r="D153" s="71" t="n"/>
      <c r="E153" s="70" t="n"/>
      <c r="F153" s="74" t="n"/>
      <c r="G153" s="71" t="n"/>
      <c r="H153" s="73" t="n"/>
      <c r="I153" s="68" t="n"/>
      <c r="J153" s="71" t="n"/>
      <c r="K153" s="71" t="n"/>
      <c r="L153" s="71" t="n"/>
      <c r="M153" s="28">
        <f>IF(A153&lt;&gt;"",IFERROR(SUMIF(Agenda!E:E,A153,Agenda!N:N),0),"")</f>
        <v/>
      </c>
      <c r="N153" s="54">
        <f>IF(A153&lt;&gt;"",IFERROR(COUNTIF(Agenda!E:E,A153),0),"")</f>
        <v/>
      </c>
      <c r="O153" s="68">
        <f>IF(A153&lt;&gt;"",IFERROR(MAXIFS(Agenda!C:C,Agenda!E:E,A153),""),"")</f>
        <v/>
      </c>
      <c r="P153" s="73" t="n"/>
    </row>
    <row r="154" ht="18" customHeight="1">
      <c r="A154" s="58" t="n"/>
      <c r="B154" s="58" t="n"/>
      <c r="C154" s="56" t="n"/>
      <c r="D154" s="59" t="n"/>
      <c r="E154" s="58" t="n"/>
      <c r="F154" s="62" t="n"/>
      <c r="G154" s="59" t="n"/>
      <c r="H154" s="61" t="n"/>
      <c r="I154" s="56" t="n"/>
      <c r="J154" s="59" t="n"/>
      <c r="K154" s="59" t="n"/>
      <c r="L154" s="59" t="n"/>
      <c r="M154" s="28">
        <f>IF(A154&lt;&gt;"",IFERROR(SUMIF(Agenda!E:E,A154,Agenda!N:N),0),"")</f>
        <v/>
      </c>
      <c r="N154" s="54">
        <f>IF(A154&lt;&gt;"",IFERROR(COUNTIF(Agenda!E:E,A154),0),"")</f>
        <v/>
      </c>
      <c r="O154" s="56">
        <f>IF(A154&lt;&gt;"",IFERROR(MAXIFS(Agenda!C:C,Agenda!E:E,A154),""),"")</f>
        <v/>
      </c>
      <c r="P154" s="61" t="n"/>
    </row>
    <row r="155" ht="18" customHeight="1">
      <c r="A155" s="70" t="n"/>
      <c r="B155" s="70" t="n"/>
      <c r="C155" s="68" t="n"/>
      <c r="D155" s="71" t="n"/>
      <c r="E155" s="70" t="n"/>
      <c r="F155" s="74" t="n"/>
      <c r="G155" s="71" t="n"/>
      <c r="H155" s="73" t="n"/>
      <c r="I155" s="68" t="n"/>
      <c r="J155" s="71" t="n"/>
      <c r="K155" s="71" t="n"/>
      <c r="L155" s="71" t="n"/>
      <c r="M155" s="28">
        <f>IF(A155&lt;&gt;"",IFERROR(SUMIF(Agenda!E:E,A155,Agenda!N:N),0),"")</f>
        <v/>
      </c>
      <c r="N155" s="54">
        <f>IF(A155&lt;&gt;"",IFERROR(COUNTIF(Agenda!E:E,A155),0),"")</f>
        <v/>
      </c>
      <c r="O155" s="68">
        <f>IF(A155&lt;&gt;"",IFERROR(MAXIFS(Agenda!C:C,Agenda!E:E,A155),""),"")</f>
        <v/>
      </c>
      <c r="P155" s="73" t="n"/>
    </row>
    <row r="156" ht="18" customHeight="1">
      <c r="A156" s="58" t="n"/>
      <c r="B156" s="58" t="n"/>
      <c r="C156" s="56" t="n"/>
      <c r="D156" s="59" t="n"/>
      <c r="E156" s="58" t="n"/>
      <c r="F156" s="62" t="n"/>
      <c r="G156" s="59" t="n"/>
      <c r="H156" s="61" t="n"/>
      <c r="I156" s="56" t="n"/>
      <c r="J156" s="59" t="n"/>
      <c r="K156" s="59" t="n"/>
      <c r="L156" s="59" t="n"/>
      <c r="M156" s="28">
        <f>IF(A156&lt;&gt;"",IFERROR(SUMIF(Agenda!E:E,A156,Agenda!N:N),0),"")</f>
        <v/>
      </c>
      <c r="N156" s="54">
        <f>IF(A156&lt;&gt;"",IFERROR(COUNTIF(Agenda!E:E,A156),0),"")</f>
        <v/>
      </c>
      <c r="O156" s="56">
        <f>IF(A156&lt;&gt;"",IFERROR(MAXIFS(Agenda!C:C,Agenda!E:E,A156),""),"")</f>
        <v/>
      </c>
      <c r="P156" s="61" t="n"/>
    </row>
    <row r="157" ht="18" customHeight="1">
      <c r="A157" s="70" t="n"/>
      <c r="B157" s="70" t="n"/>
      <c r="C157" s="68" t="n"/>
      <c r="D157" s="71" t="n"/>
      <c r="E157" s="70" t="n"/>
      <c r="F157" s="74" t="n"/>
      <c r="G157" s="71" t="n"/>
      <c r="H157" s="73" t="n"/>
      <c r="I157" s="68" t="n"/>
      <c r="J157" s="71" t="n"/>
      <c r="K157" s="71" t="n"/>
      <c r="L157" s="71" t="n"/>
      <c r="M157" s="28">
        <f>IF(A157&lt;&gt;"",IFERROR(SUMIF(Agenda!E:E,A157,Agenda!N:N),0),"")</f>
        <v/>
      </c>
      <c r="N157" s="54">
        <f>IF(A157&lt;&gt;"",IFERROR(COUNTIF(Agenda!E:E,A157),0),"")</f>
        <v/>
      </c>
      <c r="O157" s="68">
        <f>IF(A157&lt;&gt;"",IFERROR(MAXIFS(Agenda!C:C,Agenda!E:E,A157),""),"")</f>
        <v/>
      </c>
      <c r="P157" s="73" t="n"/>
    </row>
    <row r="158" ht="18" customHeight="1">
      <c r="A158" s="58" t="n"/>
      <c r="B158" s="58" t="n"/>
      <c r="C158" s="56" t="n"/>
      <c r="D158" s="59" t="n"/>
      <c r="E158" s="58" t="n"/>
      <c r="F158" s="62" t="n"/>
      <c r="G158" s="59" t="n"/>
      <c r="H158" s="61" t="n"/>
      <c r="I158" s="56" t="n"/>
      <c r="J158" s="59" t="n"/>
      <c r="K158" s="59" t="n"/>
      <c r="L158" s="59" t="n"/>
      <c r="M158" s="28">
        <f>IF(A158&lt;&gt;"",IFERROR(SUMIF(Agenda!E:E,A158,Agenda!N:N),0),"")</f>
        <v/>
      </c>
      <c r="N158" s="54">
        <f>IF(A158&lt;&gt;"",IFERROR(COUNTIF(Agenda!E:E,A158),0),"")</f>
        <v/>
      </c>
      <c r="O158" s="56">
        <f>IF(A158&lt;&gt;"",IFERROR(MAXIFS(Agenda!C:C,Agenda!E:E,A158),""),"")</f>
        <v/>
      </c>
      <c r="P158" s="61" t="n"/>
    </row>
    <row r="159" ht="18" customHeight="1">
      <c r="A159" s="70" t="n"/>
      <c r="B159" s="70" t="n"/>
      <c r="C159" s="68" t="n"/>
      <c r="D159" s="71" t="n"/>
      <c r="E159" s="70" t="n"/>
      <c r="F159" s="74" t="n"/>
      <c r="G159" s="71" t="n"/>
      <c r="H159" s="73" t="n"/>
      <c r="I159" s="68" t="n"/>
      <c r="J159" s="71" t="n"/>
      <c r="K159" s="71" t="n"/>
      <c r="L159" s="71" t="n"/>
      <c r="M159" s="28">
        <f>IF(A159&lt;&gt;"",IFERROR(SUMIF(Agenda!E:E,A159,Agenda!N:N),0),"")</f>
        <v/>
      </c>
      <c r="N159" s="54">
        <f>IF(A159&lt;&gt;"",IFERROR(COUNTIF(Agenda!E:E,A159),0),"")</f>
        <v/>
      </c>
      <c r="O159" s="68">
        <f>IF(A159&lt;&gt;"",IFERROR(MAXIFS(Agenda!C:C,Agenda!E:E,A159),""),"")</f>
        <v/>
      </c>
      <c r="P159" s="73" t="n"/>
    </row>
    <row r="160" ht="18" customHeight="1">
      <c r="A160" s="58" t="n"/>
      <c r="B160" s="58" t="n"/>
      <c r="C160" s="56" t="n"/>
      <c r="D160" s="59" t="n"/>
      <c r="E160" s="58" t="n"/>
      <c r="F160" s="62" t="n"/>
      <c r="G160" s="59" t="n"/>
      <c r="H160" s="61" t="n"/>
      <c r="I160" s="56" t="n"/>
      <c r="J160" s="59" t="n"/>
      <c r="K160" s="59" t="n"/>
      <c r="L160" s="59" t="n"/>
      <c r="M160" s="28">
        <f>IF(A160&lt;&gt;"",IFERROR(SUMIF(Agenda!E:E,A160,Agenda!N:N),0),"")</f>
        <v/>
      </c>
      <c r="N160" s="54">
        <f>IF(A160&lt;&gt;"",IFERROR(COUNTIF(Agenda!E:E,A160),0),"")</f>
        <v/>
      </c>
      <c r="O160" s="56">
        <f>IF(A160&lt;&gt;"",IFERROR(MAXIFS(Agenda!C:C,Agenda!E:E,A160),""),"")</f>
        <v/>
      </c>
      <c r="P160" s="61" t="n"/>
    </row>
    <row r="161" ht="18" customHeight="1">
      <c r="A161" s="70" t="n"/>
      <c r="B161" s="70" t="n"/>
      <c r="C161" s="68" t="n"/>
      <c r="D161" s="71" t="n"/>
      <c r="E161" s="70" t="n"/>
      <c r="F161" s="74" t="n"/>
      <c r="G161" s="71" t="n"/>
      <c r="H161" s="73" t="n"/>
      <c r="I161" s="68" t="n"/>
      <c r="J161" s="71" t="n"/>
      <c r="K161" s="71" t="n"/>
      <c r="L161" s="71" t="n"/>
      <c r="M161" s="28">
        <f>IF(A161&lt;&gt;"",IFERROR(SUMIF(Agenda!E:E,A161,Agenda!N:N),0),"")</f>
        <v/>
      </c>
      <c r="N161" s="54">
        <f>IF(A161&lt;&gt;"",IFERROR(COUNTIF(Agenda!E:E,A161),0),"")</f>
        <v/>
      </c>
      <c r="O161" s="68">
        <f>IF(A161&lt;&gt;"",IFERROR(MAXIFS(Agenda!C:C,Agenda!E:E,A161),""),"")</f>
        <v/>
      </c>
      <c r="P161" s="73" t="n"/>
    </row>
    <row r="162" ht="18" customHeight="1">
      <c r="A162" s="58" t="n"/>
      <c r="B162" s="58" t="n"/>
      <c r="C162" s="56" t="n"/>
      <c r="D162" s="59" t="n"/>
      <c r="E162" s="58" t="n"/>
      <c r="F162" s="62" t="n"/>
      <c r="G162" s="59" t="n"/>
      <c r="H162" s="61" t="n"/>
      <c r="I162" s="56" t="n"/>
      <c r="J162" s="59" t="n"/>
      <c r="K162" s="59" t="n"/>
      <c r="L162" s="59" t="n"/>
      <c r="M162" s="28">
        <f>IF(A162&lt;&gt;"",IFERROR(SUMIF(Agenda!E:E,A162,Agenda!N:N),0),"")</f>
        <v/>
      </c>
      <c r="N162" s="54">
        <f>IF(A162&lt;&gt;"",IFERROR(COUNTIF(Agenda!E:E,A162),0),"")</f>
        <v/>
      </c>
      <c r="O162" s="56">
        <f>IF(A162&lt;&gt;"",IFERROR(MAXIFS(Agenda!C:C,Agenda!E:E,A162),""),"")</f>
        <v/>
      </c>
      <c r="P162" s="61" t="n"/>
    </row>
    <row r="163" ht="18" customHeight="1">
      <c r="A163" s="70" t="n"/>
      <c r="B163" s="70" t="n"/>
      <c r="C163" s="68" t="n"/>
      <c r="D163" s="71" t="n"/>
      <c r="E163" s="70" t="n"/>
      <c r="F163" s="74" t="n"/>
      <c r="G163" s="71" t="n"/>
      <c r="H163" s="73" t="n"/>
      <c r="I163" s="68" t="n"/>
      <c r="J163" s="71" t="n"/>
      <c r="K163" s="71" t="n"/>
      <c r="L163" s="71" t="n"/>
      <c r="M163" s="28">
        <f>IF(A163&lt;&gt;"",IFERROR(SUMIF(Agenda!E:E,A163,Agenda!N:N),0),"")</f>
        <v/>
      </c>
      <c r="N163" s="54">
        <f>IF(A163&lt;&gt;"",IFERROR(COUNTIF(Agenda!E:E,A163),0),"")</f>
        <v/>
      </c>
      <c r="O163" s="68">
        <f>IF(A163&lt;&gt;"",IFERROR(MAXIFS(Agenda!C:C,Agenda!E:E,A163),""),"")</f>
        <v/>
      </c>
      <c r="P163" s="73" t="n"/>
    </row>
    <row r="164" ht="18" customHeight="1">
      <c r="A164" s="58" t="n"/>
      <c r="B164" s="58" t="n"/>
      <c r="C164" s="56" t="n"/>
      <c r="D164" s="59" t="n"/>
      <c r="E164" s="58" t="n"/>
      <c r="F164" s="62" t="n"/>
      <c r="G164" s="59" t="n"/>
      <c r="H164" s="61" t="n"/>
      <c r="I164" s="56" t="n"/>
      <c r="J164" s="59" t="n"/>
      <c r="K164" s="59" t="n"/>
      <c r="L164" s="59" t="n"/>
      <c r="M164" s="28">
        <f>IF(A164&lt;&gt;"",IFERROR(SUMIF(Agenda!E:E,A164,Agenda!N:N),0),"")</f>
        <v/>
      </c>
      <c r="N164" s="54">
        <f>IF(A164&lt;&gt;"",IFERROR(COUNTIF(Agenda!E:E,A164),0),"")</f>
        <v/>
      </c>
      <c r="O164" s="56">
        <f>IF(A164&lt;&gt;"",IFERROR(MAXIFS(Agenda!C:C,Agenda!E:E,A164),""),"")</f>
        <v/>
      </c>
      <c r="P164" s="61" t="n"/>
    </row>
    <row r="165" ht="18" customHeight="1">
      <c r="A165" s="70" t="n"/>
      <c r="B165" s="70" t="n"/>
      <c r="C165" s="68" t="n"/>
      <c r="D165" s="71" t="n"/>
      <c r="E165" s="70" t="n"/>
      <c r="F165" s="74" t="n"/>
      <c r="G165" s="71" t="n"/>
      <c r="H165" s="73" t="n"/>
      <c r="I165" s="68" t="n"/>
      <c r="J165" s="71" t="n"/>
      <c r="K165" s="71" t="n"/>
      <c r="L165" s="71" t="n"/>
      <c r="M165" s="28">
        <f>IF(A165&lt;&gt;"",IFERROR(SUMIF(Agenda!E:E,A165,Agenda!N:N),0),"")</f>
        <v/>
      </c>
      <c r="N165" s="54">
        <f>IF(A165&lt;&gt;"",IFERROR(COUNTIF(Agenda!E:E,A165),0),"")</f>
        <v/>
      </c>
      <c r="O165" s="68">
        <f>IF(A165&lt;&gt;"",IFERROR(MAXIFS(Agenda!C:C,Agenda!E:E,A165),""),"")</f>
        <v/>
      </c>
      <c r="P165" s="73" t="n"/>
    </row>
    <row r="166" ht="18" customHeight="1">
      <c r="A166" s="58" t="n"/>
      <c r="B166" s="58" t="n"/>
      <c r="C166" s="56" t="n"/>
      <c r="D166" s="59" t="n"/>
      <c r="E166" s="58" t="n"/>
      <c r="F166" s="62" t="n"/>
      <c r="G166" s="59" t="n"/>
      <c r="H166" s="61" t="n"/>
      <c r="I166" s="56" t="n"/>
      <c r="J166" s="59" t="n"/>
      <c r="K166" s="59" t="n"/>
      <c r="L166" s="59" t="n"/>
      <c r="M166" s="28">
        <f>IF(A166&lt;&gt;"",IFERROR(SUMIF(Agenda!E:E,A166,Agenda!N:N),0),"")</f>
        <v/>
      </c>
      <c r="N166" s="54">
        <f>IF(A166&lt;&gt;"",IFERROR(COUNTIF(Agenda!E:E,A166),0),"")</f>
        <v/>
      </c>
      <c r="O166" s="56">
        <f>IF(A166&lt;&gt;"",IFERROR(MAXIFS(Agenda!C:C,Agenda!E:E,A166),""),"")</f>
        <v/>
      </c>
      <c r="P166" s="61" t="n"/>
    </row>
    <row r="167" ht="18" customHeight="1">
      <c r="A167" s="70" t="n"/>
      <c r="B167" s="70" t="n"/>
      <c r="C167" s="68" t="n"/>
      <c r="D167" s="71" t="n"/>
      <c r="E167" s="70" t="n"/>
      <c r="F167" s="74" t="n"/>
      <c r="G167" s="71" t="n"/>
      <c r="H167" s="73" t="n"/>
      <c r="I167" s="68" t="n"/>
      <c r="J167" s="71" t="n"/>
      <c r="K167" s="71" t="n"/>
      <c r="L167" s="71" t="n"/>
      <c r="M167" s="28">
        <f>IF(A167&lt;&gt;"",IFERROR(SUMIF(Agenda!E:E,A167,Agenda!N:N),0),"")</f>
        <v/>
      </c>
      <c r="N167" s="54">
        <f>IF(A167&lt;&gt;"",IFERROR(COUNTIF(Agenda!E:E,A167),0),"")</f>
        <v/>
      </c>
      <c r="O167" s="68">
        <f>IF(A167&lt;&gt;"",IFERROR(MAXIFS(Agenda!C:C,Agenda!E:E,A167),""),"")</f>
        <v/>
      </c>
      <c r="P167" s="73" t="n"/>
    </row>
    <row r="168" ht="18" customHeight="1">
      <c r="A168" s="58" t="n"/>
      <c r="B168" s="58" t="n"/>
      <c r="C168" s="56" t="n"/>
      <c r="D168" s="59" t="n"/>
      <c r="E168" s="58" t="n"/>
      <c r="F168" s="62" t="n"/>
      <c r="G168" s="59" t="n"/>
      <c r="H168" s="61" t="n"/>
      <c r="I168" s="56" t="n"/>
      <c r="J168" s="59" t="n"/>
      <c r="K168" s="59" t="n"/>
      <c r="L168" s="59" t="n"/>
      <c r="M168" s="28">
        <f>IF(A168&lt;&gt;"",IFERROR(SUMIF(Agenda!E:E,A168,Agenda!N:N),0),"")</f>
        <v/>
      </c>
      <c r="N168" s="54">
        <f>IF(A168&lt;&gt;"",IFERROR(COUNTIF(Agenda!E:E,A168),0),"")</f>
        <v/>
      </c>
      <c r="O168" s="56">
        <f>IF(A168&lt;&gt;"",IFERROR(MAXIFS(Agenda!C:C,Agenda!E:E,A168),""),"")</f>
        <v/>
      </c>
      <c r="P168" s="61" t="n"/>
    </row>
    <row r="169" ht="18" customHeight="1">
      <c r="A169" s="70" t="n"/>
      <c r="B169" s="70" t="n"/>
      <c r="C169" s="68" t="n"/>
      <c r="D169" s="71" t="n"/>
      <c r="E169" s="70" t="n"/>
      <c r="F169" s="74" t="n"/>
      <c r="G169" s="71" t="n"/>
      <c r="H169" s="73" t="n"/>
      <c r="I169" s="68" t="n"/>
      <c r="J169" s="71" t="n"/>
      <c r="K169" s="71" t="n"/>
      <c r="L169" s="71" t="n"/>
      <c r="M169" s="28">
        <f>IF(A169&lt;&gt;"",IFERROR(SUMIF(Agenda!E:E,A169,Agenda!N:N),0),"")</f>
        <v/>
      </c>
      <c r="N169" s="54">
        <f>IF(A169&lt;&gt;"",IFERROR(COUNTIF(Agenda!E:E,A169),0),"")</f>
        <v/>
      </c>
      <c r="O169" s="68">
        <f>IF(A169&lt;&gt;"",IFERROR(MAXIFS(Agenda!C:C,Agenda!E:E,A169),""),"")</f>
        <v/>
      </c>
      <c r="P169" s="73" t="n"/>
    </row>
    <row r="170" ht="18" customHeight="1">
      <c r="A170" s="58" t="n"/>
      <c r="B170" s="58" t="n"/>
      <c r="C170" s="56" t="n"/>
      <c r="D170" s="59" t="n"/>
      <c r="E170" s="58" t="n"/>
      <c r="F170" s="62" t="n"/>
      <c r="G170" s="59" t="n"/>
      <c r="H170" s="61" t="n"/>
      <c r="I170" s="56" t="n"/>
      <c r="J170" s="59" t="n"/>
      <c r="K170" s="59" t="n"/>
      <c r="L170" s="59" t="n"/>
      <c r="M170" s="28">
        <f>IF(A170&lt;&gt;"",IFERROR(SUMIF(Agenda!E:E,A170,Agenda!N:N),0),"")</f>
        <v/>
      </c>
      <c r="N170" s="54">
        <f>IF(A170&lt;&gt;"",IFERROR(COUNTIF(Agenda!E:E,A170),0),"")</f>
        <v/>
      </c>
      <c r="O170" s="56">
        <f>IF(A170&lt;&gt;"",IFERROR(MAXIFS(Agenda!C:C,Agenda!E:E,A170),""),"")</f>
        <v/>
      </c>
      <c r="P170" s="61" t="n"/>
    </row>
    <row r="171" ht="18" customHeight="1">
      <c r="A171" s="70" t="n"/>
      <c r="B171" s="70" t="n"/>
      <c r="C171" s="68" t="n"/>
      <c r="D171" s="71" t="n"/>
      <c r="E171" s="70" t="n"/>
      <c r="F171" s="74" t="n"/>
      <c r="G171" s="71" t="n"/>
      <c r="H171" s="73" t="n"/>
      <c r="I171" s="68" t="n"/>
      <c r="J171" s="71" t="n"/>
      <c r="K171" s="71" t="n"/>
      <c r="L171" s="71" t="n"/>
      <c r="M171" s="28">
        <f>IF(A171&lt;&gt;"",IFERROR(SUMIF(Agenda!E:E,A171,Agenda!N:N),0),"")</f>
        <v/>
      </c>
      <c r="N171" s="54">
        <f>IF(A171&lt;&gt;"",IFERROR(COUNTIF(Agenda!E:E,A171),0),"")</f>
        <v/>
      </c>
      <c r="O171" s="68">
        <f>IF(A171&lt;&gt;"",IFERROR(MAXIFS(Agenda!C:C,Agenda!E:E,A171),""),"")</f>
        <v/>
      </c>
      <c r="P171" s="73" t="n"/>
    </row>
    <row r="172" ht="18" customHeight="1">
      <c r="A172" s="58" t="n"/>
      <c r="B172" s="58" t="n"/>
      <c r="C172" s="56" t="n"/>
      <c r="D172" s="59" t="n"/>
      <c r="E172" s="58" t="n"/>
      <c r="F172" s="62" t="n"/>
      <c r="G172" s="59" t="n"/>
      <c r="H172" s="61" t="n"/>
      <c r="I172" s="56" t="n"/>
      <c r="J172" s="59" t="n"/>
      <c r="K172" s="59" t="n"/>
      <c r="L172" s="59" t="n"/>
      <c r="M172" s="28">
        <f>IF(A172&lt;&gt;"",IFERROR(SUMIF(Agenda!E:E,A172,Agenda!N:N),0),"")</f>
        <v/>
      </c>
      <c r="N172" s="54">
        <f>IF(A172&lt;&gt;"",IFERROR(COUNTIF(Agenda!E:E,A172),0),"")</f>
        <v/>
      </c>
      <c r="O172" s="56">
        <f>IF(A172&lt;&gt;"",IFERROR(MAXIFS(Agenda!C:C,Agenda!E:E,A172),""),"")</f>
        <v/>
      </c>
      <c r="P172" s="61" t="n"/>
    </row>
    <row r="173" ht="18" customHeight="1">
      <c r="A173" s="70" t="n"/>
      <c r="B173" s="70" t="n"/>
      <c r="C173" s="68" t="n"/>
      <c r="D173" s="71" t="n"/>
      <c r="E173" s="70" t="n"/>
      <c r="F173" s="74" t="n"/>
      <c r="G173" s="71" t="n"/>
      <c r="H173" s="73" t="n"/>
      <c r="I173" s="68" t="n"/>
      <c r="J173" s="71" t="n"/>
      <c r="K173" s="71" t="n"/>
      <c r="L173" s="71" t="n"/>
      <c r="M173" s="28">
        <f>IF(A173&lt;&gt;"",IFERROR(SUMIF(Agenda!E:E,A173,Agenda!N:N),0),"")</f>
        <v/>
      </c>
      <c r="N173" s="54">
        <f>IF(A173&lt;&gt;"",IFERROR(COUNTIF(Agenda!E:E,A173),0),"")</f>
        <v/>
      </c>
      <c r="O173" s="68">
        <f>IF(A173&lt;&gt;"",IFERROR(MAXIFS(Agenda!C:C,Agenda!E:E,A173),""),"")</f>
        <v/>
      </c>
      <c r="P173" s="73" t="n"/>
    </row>
    <row r="174" ht="18" customHeight="1">
      <c r="A174" s="58" t="n"/>
      <c r="B174" s="58" t="n"/>
      <c r="C174" s="56" t="n"/>
      <c r="D174" s="59" t="n"/>
      <c r="E174" s="58" t="n"/>
      <c r="F174" s="62" t="n"/>
      <c r="G174" s="59" t="n"/>
      <c r="H174" s="61" t="n"/>
      <c r="I174" s="56" t="n"/>
      <c r="J174" s="59" t="n"/>
      <c r="K174" s="59" t="n"/>
      <c r="L174" s="59" t="n"/>
      <c r="M174" s="28">
        <f>IF(A174&lt;&gt;"",IFERROR(SUMIF(Agenda!E:E,A174,Agenda!N:N),0),"")</f>
        <v/>
      </c>
      <c r="N174" s="54">
        <f>IF(A174&lt;&gt;"",IFERROR(COUNTIF(Agenda!E:E,A174),0),"")</f>
        <v/>
      </c>
      <c r="O174" s="56">
        <f>IF(A174&lt;&gt;"",IFERROR(MAXIFS(Agenda!C:C,Agenda!E:E,A174),""),"")</f>
        <v/>
      </c>
      <c r="P174" s="61" t="n"/>
    </row>
    <row r="175" ht="18" customHeight="1">
      <c r="A175" s="70" t="n"/>
      <c r="B175" s="70" t="n"/>
      <c r="C175" s="68" t="n"/>
      <c r="D175" s="71" t="n"/>
      <c r="E175" s="70" t="n"/>
      <c r="F175" s="74" t="n"/>
      <c r="G175" s="71" t="n"/>
      <c r="H175" s="73" t="n"/>
      <c r="I175" s="68" t="n"/>
      <c r="J175" s="71" t="n"/>
      <c r="K175" s="71" t="n"/>
      <c r="L175" s="71" t="n"/>
      <c r="M175" s="28">
        <f>IF(A175&lt;&gt;"",IFERROR(SUMIF(Agenda!E:E,A175,Agenda!N:N),0),"")</f>
        <v/>
      </c>
      <c r="N175" s="54">
        <f>IF(A175&lt;&gt;"",IFERROR(COUNTIF(Agenda!E:E,A175),0),"")</f>
        <v/>
      </c>
      <c r="O175" s="68">
        <f>IF(A175&lt;&gt;"",IFERROR(MAXIFS(Agenda!C:C,Agenda!E:E,A175),""),"")</f>
        <v/>
      </c>
      <c r="P175" s="73" t="n"/>
    </row>
    <row r="176" ht="18" customHeight="1">
      <c r="A176" s="58" t="n"/>
      <c r="B176" s="58" t="n"/>
      <c r="C176" s="56" t="n"/>
      <c r="D176" s="59" t="n"/>
      <c r="E176" s="58" t="n"/>
      <c r="F176" s="62" t="n"/>
      <c r="G176" s="59" t="n"/>
      <c r="H176" s="61" t="n"/>
      <c r="I176" s="56" t="n"/>
      <c r="J176" s="59" t="n"/>
      <c r="K176" s="59" t="n"/>
      <c r="L176" s="59" t="n"/>
      <c r="M176" s="28">
        <f>IF(A176&lt;&gt;"",IFERROR(SUMIF(Agenda!E:E,A176,Agenda!N:N),0),"")</f>
        <v/>
      </c>
      <c r="N176" s="54">
        <f>IF(A176&lt;&gt;"",IFERROR(COUNTIF(Agenda!E:E,A176),0),"")</f>
        <v/>
      </c>
      <c r="O176" s="56">
        <f>IF(A176&lt;&gt;"",IFERROR(MAXIFS(Agenda!C:C,Agenda!E:E,A176),""),"")</f>
        <v/>
      </c>
      <c r="P176" s="61" t="n"/>
    </row>
    <row r="177" ht="18" customHeight="1">
      <c r="A177" s="70" t="n"/>
      <c r="B177" s="70" t="n"/>
      <c r="C177" s="68" t="n"/>
      <c r="D177" s="71" t="n"/>
      <c r="E177" s="70" t="n"/>
      <c r="F177" s="74" t="n"/>
      <c r="G177" s="71" t="n"/>
      <c r="H177" s="73" t="n"/>
      <c r="I177" s="68" t="n"/>
      <c r="J177" s="71" t="n"/>
      <c r="K177" s="71" t="n"/>
      <c r="L177" s="71" t="n"/>
      <c r="M177" s="28">
        <f>IF(A177&lt;&gt;"",IFERROR(SUMIF(Agenda!E:E,A177,Agenda!N:N),0),"")</f>
        <v/>
      </c>
      <c r="N177" s="54">
        <f>IF(A177&lt;&gt;"",IFERROR(COUNTIF(Agenda!E:E,A177),0),"")</f>
        <v/>
      </c>
      <c r="O177" s="68">
        <f>IF(A177&lt;&gt;"",IFERROR(MAXIFS(Agenda!C:C,Agenda!E:E,A177),""),"")</f>
        <v/>
      </c>
      <c r="P177" s="73" t="n"/>
    </row>
    <row r="178" ht="18" customHeight="1">
      <c r="A178" s="58" t="n"/>
      <c r="B178" s="58" t="n"/>
      <c r="C178" s="56" t="n"/>
      <c r="D178" s="59" t="n"/>
      <c r="E178" s="58" t="n"/>
      <c r="F178" s="62" t="n"/>
      <c r="G178" s="59" t="n"/>
      <c r="H178" s="61" t="n"/>
      <c r="I178" s="56" t="n"/>
      <c r="J178" s="59" t="n"/>
      <c r="K178" s="59" t="n"/>
      <c r="L178" s="59" t="n"/>
      <c r="M178" s="28">
        <f>IF(A178&lt;&gt;"",IFERROR(SUMIF(Agenda!E:E,A178,Agenda!N:N),0),"")</f>
        <v/>
      </c>
      <c r="N178" s="54">
        <f>IF(A178&lt;&gt;"",IFERROR(COUNTIF(Agenda!E:E,A178),0),"")</f>
        <v/>
      </c>
      <c r="O178" s="56">
        <f>IF(A178&lt;&gt;"",IFERROR(MAXIFS(Agenda!C:C,Agenda!E:E,A178),""),"")</f>
        <v/>
      </c>
      <c r="P178" s="61" t="n"/>
    </row>
    <row r="179" ht="18" customHeight="1">
      <c r="A179" s="70" t="n"/>
      <c r="B179" s="70" t="n"/>
      <c r="C179" s="68" t="n"/>
      <c r="D179" s="71" t="n"/>
      <c r="E179" s="70" t="n"/>
      <c r="F179" s="74" t="n"/>
      <c r="G179" s="71" t="n"/>
      <c r="H179" s="73" t="n"/>
      <c r="I179" s="68" t="n"/>
      <c r="J179" s="71" t="n"/>
      <c r="K179" s="71" t="n"/>
      <c r="L179" s="71" t="n"/>
      <c r="M179" s="28">
        <f>IF(A179&lt;&gt;"",IFERROR(SUMIF(Agenda!E:E,A179,Agenda!N:N),0),"")</f>
        <v/>
      </c>
      <c r="N179" s="54">
        <f>IF(A179&lt;&gt;"",IFERROR(COUNTIF(Agenda!E:E,A179),0),"")</f>
        <v/>
      </c>
      <c r="O179" s="68">
        <f>IF(A179&lt;&gt;"",IFERROR(MAXIFS(Agenda!C:C,Agenda!E:E,A179),""),"")</f>
        <v/>
      </c>
      <c r="P179" s="73" t="n"/>
    </row>
    <row r="180" ht="18" customHeight="1">
      <c r="A180" s="58" t="n"/>
      <c r="B180" s="58" t="n"/>
      <c r="C180" s="56" t="n"/>
      <c r="D180" s="59" t="n"/>
      <c r="E180" s="58" t="n"/>
      <c r="F180" s="62" t="n"/>
      <c r="G180" s="59" t="n"/>
      <c r="H180" s="61" t="n"/>
      <c r="I180" s="56" t="n"/>
      <c r="J180" s="59" t="n"/>
      <c r="K180" s="59" t="n"/>
      <c r="L180" s="59" t="n"/>
      <c r="M180" s="28">
        <f>IF(A180&lt;&gt;"",IFERROR(SUMIF(Agenda!E:E,A180,Agenda!N:N),0),"")</f>
        <v/>
      </c>
      <c r="N180" s="54">
        <f>IF(A180&lt;&gt;"",IFERROR(COUNTIF(Agenda!E:E,A180),0),"")</f>
        <v/>
      </c>
      <c r="O180" s="56">
        <f>IF(A180&lt;&gt;"",IFERROR(MAXIFS(Agenda!C:C,Agenda!E:E,A180),""),"")</f>
        <v/>
      </c>
      <c r="P180" s="61" t="n"/>
    </row>
    <row r="181" ht="18" customHeight="1">
      <c r="A181" s="70" t="n"/>
      <c r="B181" s="70" t="n"/>
      <c r="C181" s="68" t="n"/>
      <c r="D181" s="71" t="n"/>
      <c r="E181" s="70" t="n"/>
      <c r="F181" s="74" t="n"/>
      <c r="G181" s="71" t="n"/>
      <c r="H181" s="73" t="n"/>
      <c r="I181" s="68" t="n"/>
      <c r="J181" s="71" t="n"/>
      <c r="K181" s="71" t="n"/>
      <c r="L181" s="71" t="n"/>
      <c r="M181" s="28">
        <f>IF(A181&lt;&gt;"",IFERROR(SUMIF(Agenda!E:E,A181,Agenda!N:N),0),"")</f>
        <v/>
      </c>
      <c r="N181" s="54">
        <f>IF(A181&lt;&gt;"",IFERROR(COUNTIF(Agenda!E:E,A181),0),"")</f>
        <v/>
      </c>
      <c r="O181" s="68">
        <f>IF(A181&lt;&gt;"",IFERROR(MAXIFS(Agenda!C:C,Agenda!E:E,A181),""),"")</f>
        <v/>
      </c>
      <c r="P181" s="73" t="n"/>
    </row>
    <row r="182" ht="18" customHeight="1">
      <c r="A182" s="58" t="n"/>
      <c r="B182" s="58" t="n"/>
      <c r="C182" s="56" t="n"/>
      <c r="D182" s="59" t="n"/>
      <c r="E182" s="58" t="n"/>
      <c r="F182" s="62" t="n"/>
      <c r="G182" s="59" t="n"/>
      <c r="H182" s="61" t="n"/>
      <c r="I182" s="56" t="n"/>
      <c r="J182" s="59" t="n"/>
      <c r="K182" s="59" t="n"/>
      <c r="L182" s="59" t="n"/>
      <c r="M182" s="28">
        <f>IF(A182&lt;&gt;"",IFERROR(SUMIF(Agenda!E:E,A182,Agenda!N:N),0),"")</f>
        <v/>
      </c>
      <c r="N182" s="54">
        <f>IF(A182&lt;&gt;"",IFERROR(COUNTIF(Agenda!E:E,A182),0),"")</f>
        <v/>
      </c>
      <c r="O182" s="56">
        <f>IF(A182&lt;&gt;"",IFERROR(MAXIFS(Agenda!C:C,Agenda!E:E,A182),""),"")</f>
        <v/>
      </c>
      <c r="P182" s="61" t="n"/>
    </row>
    <row r="183" ht="18" customHeight="1">
      <c r="A183" s="70" t="n"/>
      <c r="B183" s="70" t="n"/>
      <c r="C183" s="68" t="n"/>
      <c r="D183" s="71" t="n"/>
      <c r="E183" s="70" t="n"/>
      <c r="F183" s="74" t="n"/>
      <c r="G183" s="71" t="n"/>
      <c r="H183" s="73" t="n"/>
      <c r="I183" s="68" t="n"/>
      <c r="J183" s="71" t="n"/>
      <c r="K183" s="71" t="n"/>
      <c r="L183" s="71" t="n"/>
      <c r="M183" s="28">
        <f>IF(A183&lt;&gt;"",IFERROR(SUMIF(Agenda!E:E,A183,Agenda!N:N),0),"")</f>
        <v/>
      </c>
      <c r="N183" s="54">
        <f>IF(A183&lt;&gt;"",IFERROR(COUNTIF(Agenda!E:E,A183),0),"")</f>
        <v/>
      </c>
      <c r="O183" s="68">
        <f>IF(A183&lt;&gt;"",IFERROR(MAXIFS(Agenda!C:C,Agenda!E:E,A183),""),"")</f>
        <v/>
      </c>
      <c r="P183" s="73" t="n"/>
    </row>
    <row r="184" ht="18" customHeight="1">
      <c r="A184" s="58" t="n"/>
      <c r="B184" s="58" t="n"/>
      <c r="C184" s="56" t="n"/>
      <c r="D184" s="59" t="n"/>
      <c r="E184" s="58" t="n"/>
      <c r="F184" s="62" t="n"/>
      <c r="G184" s="59" t="n"/>
      <c r="H184" s="61" t="n"/>
      <c r="I184" s="56" t="n"/>
      <c r="J184" s="59" t="n"/>
      <c r="K184" s="59" t="n"/>
      <c r="L184" s="59" t="n"/>
      <c r="M184" s="28">
        <f>IF(A184&lt;&gt;"",IFERROR(SUMIF(Agenda!E:E,A184,Agenda!N:N),0),"")</f>
        <v/>
      </c>
      <c r="N184" s="54">
        <f>IF(A184&lt;&gt;"",IFERROR(COUNTIF(Agenda!E:E,A184),0),"")</f>
        <v/>
      </c>
      <c r="O184" s="56">
        <f>IF(A184&lt;&gt;"",IFERROR(MAXIFS(Agenda!C:C,Agenda!E:E,A184),""),"")</f>
        <v/>
      </c>
      <c r="P184" s="61" t="n"/>
    </row>
    <row r="185" ht="18" customHeight="1">
      <c r="A185" s="70" t="n"/>
      <c r="B185" s="70" t="n"/>
      <c r="C185" s="68" t="n"/>
      <c r="D185" s="71" t="n"/>
      <c r="E185" s="70" t="n"/>
      <c r="F185" s="74" t="n"/>
      <c r="G185" s="71" t="n"/>
      <c r="H185" s="73" t="n"/>
      <c r="I185" s="68" t="n"/>
      <c r="J185" s="71" t="n"/>
      <c r="K185" s="71" t="n"/>
      <c r="L185" s="71" t="n"/>
      <c r="M185" s="28">
        <f>IF(A185&lt;&gt;"",IFERROR(SUMIF(Agenda!E:E,A185,Agenda!N:N),0),"")</f>
        <v/>
      </c>
      <c r="N185" s="54">
        <f>IF(A185&lt;&gt;"",IFERROR(COUNTIF(Agenda!E:E,A185),0),"")</f>
        <v/>
      </c>
      <c r="O185" s="68">
        <f>IF(A185&lt;&gt;"",IFERROR(MAXIFS(Agenda!C:C,Agenda!E:E,A185),""),"")</f>
        <v/>
      </c>
      <c r="P185" s="73" t="n"/>
    </row>
    <row r="186" ht="18" customHeight="1">
      <c r="A186" s="58" t="n"/>
      <c r="B186" s="58" t="n"/>
      <c r="C186" s="56" t="n"/>
      <c r="D186" s="59" t="n"/>
      <c r="E186" s="58" t="n"/>
      <c r="F186" s="62" t="n"/>
      <c r="G186" s="59" t="n"/>
      <c r="H186" s="61" t="n"/>
      <c r="I186" s="56" t="n"/>
      <c r="J186" s="59" t="n"/>
      <c r="K186" s="59" t="n"/>
      <c r="L186" s="59" t="n"/>
      <c r="M186" s="28">
        <f>IF(A186&lt;&gt;"",IFERROR(SUMIF(Agenda!E:E,A186,Agenda!N:N),0),"")</f>
        <v/>
      </c>
      <c r="N186" s="54">
        <f>IF(A186&lt;&gt;"",IFERROR(COUNTIF(Agenda!E:E,A186),0),"")</f>
        <v/>
      </c>
      <c r="O186" s="56">
        <f>IF(A186&lt;&gt;"",IFERROR(MAXIFS(Agenda!C:C,Agenda!E:E,A186),""),"")</f>
        <v/>
      </c>
      <c r="P186" s="61" t="n"/>
    </row>
    <row r="187" ht="18" customHeight="1">
      <c r="A187" s="70" t="n"/>
      <c r="B187" s="70" t="n"/>
      <c r="C187" s="68" t="n"/>
      <c r="D187" s="71" t="n"/>
      <c r="E187" s="70" t="n"/>
      <c r="F187" s="74" t="n"/>
      <c r="G187" s="71" t="n"/>
      <c r="H187" s="73" t="n"/>
      <c r="I187" s="68" t="n"/>
      <c r="J187" s="71" t="n"/>
      <c r="K187" s="71" t="n"/>
      <c r="L187" s="71" t="n"/>
      <c r="M187" s="28">
        <f>IF(A187&lt;&gt;"",IFERROR(SUMIF(Agenda!E:E,A187,Agenda!N:N),0),"")</f>
        <v/>
      </c>
      <c r="N187" s="54">
        <f>IF(A187&lt;&gt;"",IFERROR(COUNTIF(Agenda!E:E,A187),0),"")</f>
        <v/>
      </c>
      <c r="O187" s="68">
        <f>IF(A187&lt;&gt;"",IFERROR(MAXIFS(Agenda!C:C,Agenda!E:E,A187),""),"")</f>
        <v/>
      </c>
      <c r="P187" s="73" t="n"/>
    </row>
    <row r="188" ht="18" customHeight="1">
      <c r="A188" s="58" t="n"/>
      <c r="B188" s="58" t="n"/>
      <c r="C188" s="56" t="n"/>
      <c r="D188" s="59" t="n"/>
      <c r="E188" s="58" t="n"/>
      <c r="F188" s="62" t="n"/>
      <c r="G188" s="59" t="n"/>
      <c r="H188" s="61" t="n"/>
      <c r="I188" s="56" t="n"/>
      <c r="J188" s="59" t="n"/>
      <c r="K188" s="59" t="n"/>
      <c r="L188" s="59" t="n"/>
      <c r="M188" s="28">
        <f>IF(A188&lt;&gt;"",IFERROR(SUMIF(Agenda!E:E,A188,Agenda!N:N),0),"")</f>
        <v/>
      </c>
      <c r="N188" s="54">
        <f>IF(A188&lt;&gt;"",IFERROR(COUNTIF(Agenda!E:E,A188),0),"")</f>
        <v/>
      </c>
      <c r="O188" s="56">
        <f>IF(A188&lt;&gt;"",IFERROR(MAXIFS(Agenda!C:C,Agenda!E:E,A188),""),"")</f>
        <v/>
      </c>
      <c r="P188" s="61" t="n"/>
    </row>
    <row r="189" ht="18" customHeight="1">
      <c r="A189" s="70" t="n"/>
      <c r="B189" s="70" t="n"/>
      <c r="C189" s="68" t="n"/>
      <c r="D189" s="71" t="n"/>
      <c r="E189" s="70" t="n"/>
      <c r="F189" s="74" t="n"/>
      <c r="G189" s="71" t="n"/>
      <c r="H189" s="73" t="n"/>
      <c r="I189" s="68" t="n"/>
      <c r="J189" s="71" t="n"/>
      <c r="K189" s="71" t="n"/>
      <c r="L189" s="71" t="n"/>
      <c r="M189" s="28">
        <f>IF(A189&lt;&gt;"",IFERROR(SUMIF(Agenda!E:E,A189,Agenda!N:N),0),"")</f>
        <v/>
      </c>
      <c r="N189" s="54">
        <f>IF(A189&lt;&gt;"",IFERROR(COUNTIF(Agenda!E:E,A189),0),"")</f>
        <v/>
      </c>
      <c r="O189" s="68">
        <f>IF(A189&lt;&gt;"",IFERROR(MAXIFS(Agenda!C:C,Agenda!E:E,A189),""),"")</f>
        <v/>
      </c>
      <c r="P189" s="73" t="n"/>
    </row>
    <row r="190" ht="18" customHeight="1">
      <c r="A190" s="58" t="n"/>
      <c r="B190" s="58" t="n"/>
      <c r="C190" s="56" t="n"/>
      <c r="D190" s="59" t="n"/>
      <c r="E190" s="58" t="n"/>
      <c r="F190" s="62" t="n"/>
      <c r="G190" s="59" t="n"/>
      <c r="H190" s="61" t="n"/>
      <c r="I190" s="56" t="n"/>
      <c r="J190" s="59" t="n"/>
      <c r="K190" s="59" t="n"/>
      <c r="L190" s="59" t="n"/>
      <c r="M190" s="28">
        <f>IF(A190&lt;&gt;"",IFERROR(SUMIF(Agenda!E:E,A190,Agenda!N:N),0),"")</f>
        <v/>
      </c>
      <c r="N190" s="54">
        <f>IF(A190&lt;&gt;"",IFERROR(COUNTIF(Agenda!E:E,A190),0),"")</f>
        <v/>
      </c>
      <c r="O190" s="56">
        <f>IF(A190&lt;&gt;"",IFERROR(MAXIFS(Agenda!C:C,Agenda!E:E,A190),""),"")</f>
        <v/>
      </c>
      <c r="P190" s="61" t="n"/>
    </row>
    <row r="191" ht="18" customHeight="1">
      <c r="A191" s="70" t="n"/>
      <c r="B191" s="70" t="n"/>
      <c r="C191" s="68" t="n"/>
      <c r="D191" s="71" t="n"/>
      <c r="E191" s="70" t="n"/>
      <c r="F191" s="74" t="n"/>
      <c r="G191" s="71" t="n"/>
      <c r="H191" s="73" t="n"/>
      <c r="I191" s="68" t="n"/>
      <c r="J191" s="71" t="n"/>
      <c r="K191" s="71" t="n"/>
      <c r="L191" s="71" t="n"/>
      <c r="M191" s="28">
        <f>IF(A191&lt;&gt;"",IFERROR(SUMIF(Agenda!E:E,A191,Agenda!N:N),0),"")</f>
        <v/>
      </c>
      <c r="N191" s="54">
        <f>IF(A191&lt;&gt;"",IFERROR(COUNTIF(Agenda!E:E,A191),0),"")</f>
        <v/>
      </c>
      <c r="O191" s="68">
        <f>IF(A191&lt;&gt;"",IFERROR(MAXIFS(Agenda!C:C,Agenda!E:E,A191),""),"")</f>
        <v/>
      </c>
      <c r="P191" s="73" t="n"/>
    </row>
    <row r="192" ht="18" customHeight="1">
      <c r="A192" s="58" t="n"/>
      <c r="B192" s="58" t="n"/>
      <c r="C192" s="56" t="n"/>
      <c r="D192" s="59" t="n"/>
      <c r="E192" s="58" t="n"/>
      <c r="F192" s="62" t="n"/>
      <c r="G192" s="59" t="n"/>
      <c r="H192" s="61" t="n"/>
      <c r="I192" s="56" t="n"/>
      <c r="J192" s="59" t="n"/>
      <c r="K192" s="59" t="n"/>
      <c r="L192" s="59" t="n"/>
      <c r="M192" s="28">
        <f>IF(A192&lt;&gt;"",IFERROR(SUMIF(Agenda!E:E,A192,Agenda!N:N),0),"")</f>
        <v/>
      </c>
      <c r="N192" s="54">
        <f>IF(A192&lt;&gt;"",IFERROR(COUNTIF(Agenda!E:E,A192),0),"")</f>
        <v/>
      </c>
      <c r="O192" s="56">
        <f>IF(A192&lt;&gt;"",IFERROR(MAXIFS(Agenda!C:C,Agenda!E:E,A192),""),"")</f>
        <v/>
      </c>
      <c r="P192" s="61" t="n"/>
    </row>
    <row r="193" ht="18" customHeight="1">
      <c r="A193" s="70" t="n"/>
      <c r="B193" s="70" t="n"/>
      <c r="C193" s="68" t="n"/>
      <c r="D193" s="71" t="n"/>
      <c r="E193" s="70" t="n"/>
      <c r="F193" s="74" t="n"/>
      <c r="G193" s="71" t="n"/>
      <c r="H193" s="73" t="n"/>
      <c r="I193" s="68" t="n"/>
      <c r="J193" s="71" t="n"/>
      <c r="K193" s="71" t="n"/>
      <c r="L193" s="71" t="n"/>
      <c r="M193" s="28">
        <f>IF(A193&lt;&gt;"",IFERROR(SUMIF(Agenda!E:E,A193,Agenda!N:N),0),"")</f>
        <v/>
      </c>
      <c r="N193" s="54">
        <f>IF(A193&lt;&gt;"",IFERROR(COUNTIF(Agenda!E:E,A193),0),"")</f>
        <v/>
      </c>
      <c r="O193" s="68">
        <f>IF(A193&lt;&gt;"",IFERROR(MAXIFS(Agenda!C:C,Agenda!E:E,A193),""),"")</f>
        <v/>
      </c>
      <c r="P193" s="73" t="n"/>
    </row>
    <row r="194" ht="18" customHeight="1">
      <c r="A194" s="58" t="n"/>
      <c r="B194" s="58" t="n"/>
      <c r="C194" s="56" t="n"/>
      <c r="D194" s="59" t="n"/>
      <c r="E194" s="58" t="n"/>
      <c r="F194" s="62" t="n"/>
      <c r="G194" s="59" t="n"/>
      <c r="H194" s="61" t="n"/>
      <c r="I194" s="56" t="n"/>
      <c r="J194" s="59" t="n"/>
      <c r="K194" s="59" t="n"/>
      <c r="L194" s="59" t="n"/>
      <c r="M194" s="28">
        <f>IF(A194&lt;&gt;"",IFERROR(SUMIF(Agenda!E:E,A194,Agenda!N:N),0),"")</f>
        <v/>
      </c>
      <c r="N194" s="54">
        <f>IF(A194&lt;&gt;"",IFERROR(COUNTIF(Agenda!E:E,A194),0),"")</f>
        <v/>
      </c>
      <c r="O194" s="56">
        <f>IF(A194&lt;&gt;"",IFERROR(MAXIFS(Agenda!C:C,Agenda!E:E,A194),""),"")</f>
        <v/>
      </c>
      <c r="P194" s="61" t="n"/>
    </row>
    <row r="195" ht="18" customHeight="1">
      <c r="A195" s="70" t="n"/>
      <c r="B195" s="70" t="n"/>
      <c r="C195" s="68" t="n"/>
      <c r="D195" s="71" t="n"/>
      <c r="E195" s="70" t="n"/>
      <c r="F195" s="74" t="n"/>
      <c r="G195" s="71" t="n"/>
      <c r="H195" s="73" t="n"/>
      <c r="I195" s="68" t="n"/>
      <c r="J195" s="71" t="n"/>
      <c r="K195" s="71" t="n"/>
      <c r="L195" s="71" t="n"/>
      <c r="M195" s="28">
        <f>IF(A195&lt;&gt;"",IFERROR(SUMIF(Agenda!E:E,A195,Agenda!N:N),0),"")</f>
        <v/>
      </c>
      <c r="N195" s="54">
        <f>IF(A195&lt;&gt;"",IFERROR(COUNTIF(Agenda!E:E,A195),0),"")</f>
        <v/>
      </c>
      <c r="O195" s="68">
        <f>IF(A195&lt;&gt;"",IFERROR(MAXIFS(Agenda!C:C,Agenda!E:E,A195),""),"")</f>
        <v/>
      </c>
      <c r="P195" s="73" t="n"/>
    </row>
    <row r="196" ht="18" customHeight="1">
      <c r="A196" s="58" t="n"/>
      <c r="B196" s="58" t="n"/>
      <c r="C196" s="56" t="n"/>
      <c r="D196" s="59" t="n"/>
      <c r="E196" s="58" t="n"/>
      <c r="F196" s="62" t="n"/>
      <c r="G196" s="59" t="n"/>
      <c r="H196" s="61" t="n"/>
      <c r="I196" s="56" t="n"/>
      <c r="J196" s="59" t="n"/>
      <c r="K196" s="59" t="n"/>
      <c r="L196" s="59" t="n"/>
      <c r="M196" s="28">
        <f>IF(A196&lt;&gt;"",IFERROR(SUMIF(Agenda!E:E,A196,Agenda!N:N),0),"")</f>
        <v/>
      </c>
      <c r="N196" s="54">
        <f>IF(A196&lt;&gt;"",IFERROR(COUNTIF(Agenda!E:E,A196),0),"")</f>
        <v/>
      </c>
      <c r="O196" s="56">
        <f>IF(A196&lt;&gt;"",IFERROR(MAXIFS(Agenda!C:C,Agenda!E:E,A196),""),"")</f>
        <v/>
      </c>
      <c r="P196" s="61" t="n"/>
    </row>
    <row r="197" ht="18" customHeight="1">
      <c r="A197" s="70" t="n"/>
      <c r="B197" s="70" t="n"/>
      <c r="C197" s="68" t="n"/>
      <c r="D197" s="71" t="n"/>
      <c r="E197" s="70" t="n"/>
      <c r="F197" s="74" t="n"/>
      <c r="G197" s="71" t="n"/>
      <c r="H197" s="73" t="n"/>
      <c r="I197" s="68" t="n"/>
      <c r="J197" s="71" t="n"/>
      <c r="K197" s="71" t="n"/>
      <c r="L197" s="71" t="n"/>
      <c r="M197" s="28">
        <f>IF(A197&lt;&gt;"",IFERROR(SUMIF(Agenda!E:E,A197,Agenda!N:N),0),"")</f>
        <v/>
      </c>
      <c r="N197" s="54">
        <f>IF(A197&lt;&gt;"",IFERROR(COUNTIF(Agenda!E:E,A197),0),"")</f>
        <v/>
      </c>
      <c r="O197" s="68">
        <f>IF(A197&lt;&gt;"",IFERROR(MAXIFS(Agenda!C:C,Agenda!E:E,A197),""),"")</f>
        <v/>
      </c>
      <c r="P197" s="73" t="n"/>
    </row>
    <row r="198" ht="18" customHeight="1">
      <c r="A198" s="58" t="n"/>
      <c r="B198" s="58" t="n"/>
      <c r="C198" s="56" t="n"/>
      <c r="D198" s="59" t="n"/>
      <c r="E198" s="58" t="n"/>
      <c r="F198" s="62" t="n"/>
      <c r="G198" s="59" t="n"/>
      <c r="H198" s="61" t="n"/>
      <c r="I198" s="56" t="n"/>
      <c r="J198" s="59" t="n"/>
      <c r="K198" s="59" t="n"/>
      <c r="L198" s="59" t="n"/>
      <c r="M198" s="28">
        <f>IF(A198&lt;&gt;"",IFERROR(SUMIF(Agenda!E:E,A198,Agenda!N:N),0),"")</f>
        <v/>
      </c>
      <c r="N198" s="54">
        <f>IF(A198&lt;&gt;"",IFERROR(COUNTIF(Agenda!E:E,A198),0),"")</f>
        <v/>
      </c>
      <c r="O198" s="56">
        <f>IF(A198&lt;&gt;"",IFERROR(MAXIFS(Agenda!C:C,Agenda!E:E,A198),""),"")</f>
        <v/>
      </c>
      <c r="P198" s="61" t="n"/>
    </row>
    <row r="199" ht="18" customHeight="1">
      <c r="A199" s="70" t="n"/>
      <c r="B199" s="70" t="n"/>
      <c r="C199" s="68" t="n"/>
      <c r="D199" s="71" t="n"/>
      <c r="E199" s="70" t="n"/>
      <c r="F199" s="74" t="n"/>
      <c r="G199" s="71" t="n"/>
      <c r="H199" s="73" t="n"/>
      <c r="I199" s="68" t="n"/>
      <c r="J199" s="71" t="n"/>
      <c r="K199" s="71" t="n"/>
      <c r="L199" s="71" t="n"/>
      <c r="M199" s="28">
        <f>IF(A199&lt;&gt;"",IFERROR(SUMIF(Agenda!E:E,A199,Agenda!N:N),0),"")</f>
        <v/>
      </c>
      <c r="N199" s="54">
        <f>IF(A199&lt;&gt;"",IFERROR(COUNTIF(Agenda!E:E,A199),0),"")</f>
        <v/>
      </c>
      <c r="O199" s="68">
        <f>IF(A199&lt;&gt;"",IFERROR(MAXIFS(Agenda!C:C,Agenda!E:E,A199),""),"")</f>
        <v/>
      </c>
      <c r="P199" s="73" t="n"/>
    </row>
    <row r="200" ht="18" customHeight="1">
      <c r="A200" s="58" t="n"/>
      <c r="B200" s="58" t="n"/>
      <c r="C200" s="56" t="n"/>
      <c r="D200" s="59" t="n"/>
      <c r="E200" s="58" t="n"/>
      <c r="F200" s="62" t="n"/>
      <c r="G200" s="59" t="n"/>
      <c r="H200" s="61" t="n"/>
      <c r="I200" s="56" t="n"/>
      <c r="J200" s="59" t="n"/>
      <c r="K200" s="59" t="n"/>
      <c r="L200" s="59" t="n"/>
      <c r="M200" s="28">
        <f>IF(A200&lt;&gt;"",IFERROR(SUMIF(Agenda!E:E,A200,Agenda!N:N),0),"")</f>
        <v/>
      </c>
      <c r="N200" s="54">
        <f>IF(A200&lt;&gt;"",IFERROR(COUNTIF(Agenda!E:E,A200),0),"")</f>
        <v/>
      </c>
      <c r="O200" s="56">
        <f>IF(A200&lt;&gt;"",IFERROR(MAXIFS(Agenda!C:C,Agenda!E:E,A200),""),"")</f>
        <v/>
      </c>
      <c r="P200" s="61" t="n"/>
    </row>
    <row r="201" ht="18" customHeight="1">
      <c r="A201" s="70" t="n"/>
      <c r="B201" s="70" t="n"/>
      <c r="C201" s="68" t="n"/>
      <c r="D201" s="71" t="n"/>
      <c r="E201" s="70" t="n"/>
      <c r="F201" s="74" t="n"/>
      <c r="G201" s="71" t="n"/>
      <c r="H201" s="73" t="n"/>
      <c r="I201" s="68" t="n"/>
      <c r="J201" s="71" t="n"/>
      <c r="K201" s="71" t="n"/>
      <c r="L201" s="71" t="n"/>
      <c r="M201" s="28">
        <f>IF(A201&lt;&gt;"",IFERROR(SUMIF(Agenda!E:E,A201,Agenda!N:N),0),"")</f>
        <v/>
      </c>
      <c r="N201" s="54">
        <f>IF(A201&lt;&gt;"",IFERROR(COUNTIF(Agenda!E:E,A201),0),"")</f>
        <v/>
      </c>
      <c r="O201" s="68">
        <f>IF(A201&lt;&gt;"",IFERROR(MAXIFS(Agenda!C:C,Agenda!E:E,A201),""),"")</f>
        <v/>
      </c>
      <c r="P201" s="73" t="n"/>
    </row>
    <row r="202" ht="18" customHeight="1">
      <c r="A202" s="58" t="n"/>
      <c r="B202" s="58" t="n"/>
      <c r="C202" s="56" t="n"/>
      <c r="D202" s="59" t="n"/>
      <c r="E202" s="58" t="n"/>
      <c r="F202" s="62" t="n"/>
      <c r="G202" s="59" t="n"/>
      <c r="H202" s="61" t="n"/>
      <c r="I202" s="56" t="n"/>
      <c r="J202" s="59" t="n"/>
      <c r="K202" s="59" t="n"/>
      <c r="L202" s="59" t="n"/>
      <c r="M202" s="28">
        <f>IF(A202&lt;&gt;"",IFERROR(SUMIF(Agenda!E:E,A202,Agenda!N:N),0),"")</f>
        <v/>
      </c>
      <c r="N202" s="54">
        <f>IF(A202&lt;&gt;"",IFERROR(COUNTIF(Agenda!E:E,A202),0),"")</f>
        <v/>
      </c>
      <c r="O202" s="56">
        <f>IF(A202&lt;&gt;"",IFERROR(MAXIFS(Agenda!C:C,Agenda!E:E,A202),""),"")</f>
        <v/>
      </c>
      <c r="P202" s="61" t="n"/>
    </row>
    <row r="203" ht="18" customHeight="1">
      <c r="A203" s="70" t="n"/>
      <c r="B203" s="70" t="n"/>
      <c r="C203" s="68" t="n"/>
      <c r="D203" s="71" t="n"/>
      <c r="E203" s="70" t="n"/>
      <c r="F203" s="74" t="n"/>
      <c r="G203" s="71" t="n"/>
      <c r="H203" s="73" t="n"/>
      <c r="I203" s="68" t="n"/>
      <c r="J203" s="71" t="n"/>
      <c r="K203" s="71" t="n"/>
      <c r="L203" s="71" t="n"/>
      <c r="M203" s="28">
        <f>IF(A203&lt;&gt;"",IFERROR(SUMIF(Agenda!E:E,A203,Agenda!N:N),0),"")</f>
        <v/>
      </c>
      <c r="N203" s="54">
        <f>IF(A203&lt;&gt;"",IFERROR(COUNTIF(Agenda!E:E,A203),0),"")</f>
        <v/>
      </c>
      <c r="O203" s="68">
        <f>IF(A203&lt;&gt;"",IFERROR(MAXIFS(Agenda!C:C,Agenda!E:E,A203),""),"")</f>
        <v/>
      </c>
      <c r="P203" s="73" t="n"/>
    </row>
    <row r="204" ht="18" customHeight="1">
      <c r="A204" s="58" t="n"/>
      <c r="B204" s="58" t="n"/>
      <c r="C204" s="56" t="n"/>
      <c r="D204" s="59" t="n"/>
      <c r="E204" s="58" t="n"/>
      <c r="F204" s="62" t="n"/>
      <c r="G204" s="59" t="n"/>
      <c r="H204" s="61" t="n"/>
      <c r="I204" s="56" t="n"/>
      <c r="J204" s="59" t="n"/>
      <c r="K204" s="59" t="n"/>
      <c r="L204" s="59" t="n"/>
      <c r="M204" s="28">
        <f>IF(A204&lt;&gt;"",IFERROR(SUMIF(Agenda!E:E,A204,Agenda!N:N),0),"")</f>
        <v/>
      </c>
      <c r="N204" s="54">
        <f>IF(A204&lt;&gt;"",IFERROR(COUNTIF(Agenda!E:E,A204),0),"")</f>
        <v/>
      </c>
      <c r="O204" s="56">
        <f>IF(A204&lt;&gt;"",IFERROR(MAXIFS(Agenda!C:C,Agenda!E:E,A204),""),"")</f>
        <v/>
      </c>
      <c r="P204" s="61" t="n"/>
    </row>
    <row r="205" ht="18" customHeight="1">
      <c r="A205" s="70" t="n"/>
      <c r="B205" s="70" t="n"/>
      <c r="C205" s="68" t="n"/>
      <c r="D205" s="71" t="n"/>
      <c r="E205" s="70" t="n"/>
      <c r="F205" s="74" t="n"/>
      <c r="G205" s="71" t="n"/>
      <c r="H205" s="73" t="n"/>
      <c r="I205" s="68" t="n"/>
      <c r="J205" s="71" t="n"/>
      <c r="K205" s="71" t="n"/>
      <c r="L205" s="71" t="n"/>
      <c r="M205" s="28">
        <f>IF(A205&lt;&gt;"",IFERROR(SUMIF(Agenda!E:E,A205,Agenda!N:N),0),"")</f>
        <v/>
      </c>
      <c r="N205" s="54">
        <f>IF(A205&lt;&gt;"",IFERROR(COUNTIF(Agenda!E:E,A205),0),"")</f>
        <v/>
      </c>
      <c r="O205" s="68">
        <f>IF(A205&lt;&gt;"",IFERROR(MAXIFS(Agenda!C:C,Agenda!E:E,A205),""),"")</f>
        <v/>
      </c>
      <c r="P205" s="73" t="n"/>
    </row>
    <row r="206" ht="18" customHeight="1">
      <c r="A206" s="58" t="n"/>
      <c r="B206" s="58" t="n"/>
      <c r="C206" s="56" t="n"/>
      <c r="D206" s="59" t="n"/>
      <c r="E206" s="58" t="n"/>
      <c r="F206" s="62" t="n"/>
      <c r="G206" s="59" t="n"/>
      <c r="H206" s="61" t="n"/>
      <c r="I206" s="56" t="n"/>
      <c r="J206" s="59" t="n"/>
      <c r="K206" s="59" t="n"/>
      <c r="L206" s="59" t="n"/>
      <c r="M206" s="28">
        <f>IF(A206&lt;&gt;"",IFERROR(SUMIF(Agenda!E:E,A206,Agenda!N:N),0),"")</f>
        <v/>
      </c>
      <c r="N206" s="54">
        <f>IF(A206&lt;&gt;"",IFERROR(COUNTIF(Agenda!E:E,A206),0),"")</f>
        <v/>
      </c>
      <c r="O206" s="56">
        <f>IF(A206&lt;&gt;"",IFERROR(MAXIFS(Agenda!C:C,Agenda!E:E,A206),""),"")</f>
        <v/>
      </c>
      <c r="P206" s="61" t="n"/>
    </row>
    <row r="207" ht="18" customHeight="1">
      <c r="A207" s="70" t="n"/>
      <c r="B207" s="70" t="n"/>
      <c r="C207" s="68" t="n"/>
      <c r="D207" s="71" t="n"/>
      <c r="E207" s="70" t="n"/>
      <c r="F207" s="74" t="n"/>
      <c r="G207" s="71" t="n"/>
      <c r="H207" s="73" t="n"/>
      <c r="I207" s="68" t="n"/>
      <c r="J207" s="71" t="n"/>
      <c r="K207" s="71" t="n"/>
      <c r="L207" s="71" t="n"/>
      <c r="M207" s="28">
        <f>IF(A207&lt;&gt;"",IFERROR(SUMIF(Agenda!E:E,A207,Agenda!N:N),0),"")</f>
        <v/>
      </c>
      <c r="N207" s="54">
        <f>IF(A207&lt;&gt;"",IFERROR(COUNTIF(Agenda!E:E,A207),0),"")</f>
        <v/>
      </c>
      <c r="O207" s="68">
        <f>IF(A207&lt;&gt;"",IFERROR(MAXIFS(Agenda!C:C,Agenda!E:E,A207),""),"")</f>
        <v/>
      </c>
      <c r="P207" s="73" t="n"/>
    </row>
    <row r="208" ht="18" customHeight="1">
      <c r="A208" s="58" t="n"/>
      <c r="B208" s="58" t="n"/>
      <c r="C208" s="56" t="n"/>
      <c r="D208" s="59" t="n"/>
      <c r="E208" s="58" t="n"/>
      <c r="F208" s="62" t="n"/>
      <c r="G208" s="59" t="n"/>
      <c r="H208" s="61" t="n"/>
      <c r="I208" s="56" t="n"/>
      <c r="J208" s="59" t="n"/>
      <c r="K208" s="59" t="n"/>
      <c r="L208" s="59" t="n"/>
      <c r="M208" s="28">
        <f>IF(A208&lt;&gt;"",IFERROR(SUMIF(Agenda!E:E,A208,Agenda!N:N),0),"")</f>
        <v/>
      </c>
      <c r="N208" s="54">
        <f>IF(A208&lt;&gt;"",IFERROR(COUNTIF(Agenda!E:E,A208),0),"")</f>
        <v/>
      </c>
      <c r="O208" s="56">
        <f>IF(A208&lt;&gt;"",IFERROR(MAXIFS(Agenda!C:C,Agenda!E:E,A208),""),"")</f>
        <v/>
      </c>
      <c r="P208" s="61" t="n"/>
    </row>
    <row r="209" ht="18" customHeight="1">
      <c r="A209" s="70" t="n"/>
      <c r="B209" s="70" t="n"/>
      <c r="C209" s="68" t="n"/>
      <c r="D209" s="71" t="n"/>
      <c r="E209" s="70" t="n"/>
      <c r="F209" s="74" t="n"/>
      <c r="G209" s="71" t="n"/>
      <c r="H209" s="73" t="n"/>
      <c r="I209" s="68" t="n"/>
      <c r="J209" s="71" t="n"/>
      <c r="K209" s="71" t="n"/>
      <c r="L209" s="71" t="n"/>
      <c r="M209" s="28">
        <f>IF(A209&lt;&gt;"",IFERROR(SUMIF(Agenda!E:E,A209,Agenda!N:N),0),"")</f>
        <v/>
      </c>
      <c r="N209" s="54">
        <f>IF(A209&lt;&gt;"",IFERROR(COUNTIF(Agenda!E:E,A209),0),"")</f>
        <v/>
      </c>
      <c r="O209" s="68">
        <f>IF(A209&lt;&gt;"",IFERROR(MAXIFS(Agenda!C:C,Agenda!E:E,A209),""),"")</f>
        <v/>
      </c>
      <c r="P209" s="73" t="n"/>
    </row>
    <row r="210" ht="18" customHeight="1">
      <c r="A210" s="58" t="n"/>
      <c r="B210" s="58" t="n"/>
      <c r="C210" s="56" t="n"/>
      <c r="D210" s="59" t="n"/>
      <c r="E210" s="58" t="n"/>
      <c r="F210" s="62" t="n"/>
      <c r="G210" s="59" t="n"/>
      <c r="H210" s="61" t="n"/>
      <c r="I210" s="56" t="n"/>
      <c r="J210" s="59" t="n"/>
      <c r="K210" s="59" t="n"/>
      <c r="L210" s="59" t="n"/>
      <c r="M210" s="28">
        <f>IF(A210&lt;&gt;"",IFERROR(SUMIF(Agenda!E:E,A210,Agenda!N:N),0),"")</f>
        <v/>
      </c>
      <c r="N210" s="54">
        <f>IF(A210&lt;&gt;"",IFERROR(COUNTIF(Agenda!E:E,A210),0),"")</f>
        <v/>
      </c>
      <c r="O210" s="56">
        <f>IF(A210&lt;&gt;"",IFERROR(MAXIFS(Agenda!C:C,Agenda!E:E,A210),""),"")</f>
        <v/>
      </c>
      <c r="P210" s="61" t="n"/>
    </row>
    <row r="211" ht="18" customHeight="1">
      <c r="A211" s="70" t="n"/>
      <c r="B211" s="70" t="n"/>
      <c r="C211" s="68" t="n"/>
      <c r="D211" s="71" t="n"/>
      <c r="E211" s="70" t="n"/>
      <c r="F211" s="74" t="n"/>
      <c r="G211" s="71" t="n"/>
      <c r="H211" s="73" t="n"/>
      <c r="I211" s="68" t="n"/>
      <c r="J211" s="71" t="n"/>
      <c r="K211" s="71" t="n"/>
      <c r="L211" s="71" t="n"/>
      <c r="M211" s="28">
        <f>IF(A211&lt;&gt;"",IFERROR(SUMIF(Agenda!E:E,A211,Agenda!N:N),0),"")</f>
        <v/>
      </c>
      <c r="N211" s="54">
        <f>IF(A211&lt;&gt;"",IFERROR(COUNTIF(Agenda!E:E,A211),0),"")</f>
        <v/>
      </c>
      <c r="O211" s="68">
        <f>IF(A211&lt;&gt;"",IFERROR(MAXIFS(Agenda!C:C,Agenda!E:E,A211),""),"")</f>
        <v/>
      </c>
      <c r="P211" s="73" t="n"/>
    </row>
    <row r="212" ht="18" customHeight="1">
      <c r="A212" s="58" t="n"/>
      <c r="B212" s="58" t="n"/>
      <c r="C212" s="56" t="n"/>
      <c r="D212" s="59" t="n"/>
      <c r="E212" s="58" t="n"/>
      <c r="F212" s="62" t="n"/>
      <c r="G212" s="59" t="n"/>
      <c r="H212" s="61" t="n"/>
      <c r="I212" s="56" t="n"/>
      <c r="J212" s="59" t="n"/>
      <c r="K212" s="59" t="n"/>
      <c r="L212" s="59" t="n"/>
      <c r="M212" s="28">
        <f>IF(A212&lt;&gt;"",IFERROR(SUMIF(Agenda!E:E,A212,Agenda!N:N),0),"")</f>
        <v/>
      </c>
      <c r="N212" s="54">
        <f>IF(A212&lt;&gt;"",IFERROR(COUNTIF(Agenda!E:E,A212),0),"")</f>
        <v/>
      </c>
      <c r="O212" s="56">
        <f>IF(A212&lt;&gt;"",IFERROR(MAXIFS(Agenda!C:C,Agenda!E:E,A212),""),"")</f>
        <v/>
      </c>
      <c r="P212" s="61" t="n"/>
    </row>
    <row r="213" ht="18" customHeight="1">
      <c r="A213" s="70" t="n"/>
      <c r="B213" s="70" t="n"/>
      <c r="C213" s="68" t="n"/>
      <c r="D213" s="71" t="n"/>
      <c r="E213" s="70" t="n"/>
      <c r="F213" s="74" t="n"/>
      <c r="G213" s="71" t="n"/>
      <c r="H213" s="73" t="n"/>
      <c r="I213" s="68" t="n"/>
      <c r="J213" s="71" t="n"/>
      <c r="K213" s="71" t="n"/>
      <c r="L213" s="71" t="n"/>
      <c r="M213" s="28">
        <f>IF(A213&lt;&gt;"",IFERROR(SUMIF(Agenda!E:E,A213,Agenda!N:N),0),"")</f>
        <v/>
      </c>
      <c r="N213" s="54">
        <f>IF(A213&lt;&gt;"",IFERROR(COUNTIF(Agenda!E:E,A213),0),"")</f>
        <v/>
      </c>
      <c r="O213" s="68">
        <f>IF(A213&lt;&gt;"",IFERROR(MAXIFS(Agenda!C:C,Agenda!E:E,A213),""),"")</f>
        <v/>
      </c>
      <c r="P213" s="73" t="n"/>
    </row>
    <row r="214" ht="18" customHeight="1">
      <c r="A214" s="58" t="n"/>
      <c r="B214" s="58" t="n"/>
      <c r="C214" s="56" t="n"/>
      <c r="D214" s="59" t="n"/>
      <c r="E214" s="58" t="n"/>
      <c r="F214" s="62" t="n"/>
      <c r="G214" s="59" t="n"/>
      <c r="H214" s="61" t="n"/>
      <c r="I214" s="56" t="n"/>
      <c r="J214" s="59" t="n"/>
      <c r="K214" s="59" t="n"/>
      <c r="L214" s="59" t="n"/>
      <c r="M214" s="28">
        <f>IF(A214&lt;&gt;"",IFERROR(SUMIF(Agenda!E:E,A214,Agenda!N:N),0),"")</f>
        <v/>
      </c>
      <c r="N214" s="54">
        <f>IF(A214&lt;&gt;"",IFERROR(COUNTIF(Agenda!E:E,A214),0),"")</f>
        <v/>
      </c>
      <c r="O214" s="56">
        <f>IF(A214&lt;&gt;"",IFERROR(MAXIFS(Agenda!C:C,Agenda!E:E,A214),""),"")</f>
        <v/>
      </c>
      <c r="P214" s="61" t="n"/>
    </row>
    <row r="215" ht="18" customHeight="1">
      <c r="A215" s="70" t="n"/>
      <c r="B215" s="70" t="n"/>
      <c r="C215" s="68" t="n"/>
      <c r="D215" s="71" t="n"/>
      <c r="E215" s="70" t="n"/>
      <c r="F215" s="74" t="n"/>
      <c r="G215" s="71" t="n"/>
      <c r="H215" s="73" t="n"/>
      <c r="I215" s="68" t="n"/>
      <c r="J215" s="71" t="n"/>
      <c r="K215" s="71" t="n"/>
      <c r="L215" s="71" t="n"/>
      <c r="M215" s="28">
        <f>IF(A215&lt;&gt;"",IFERROR(SUMIF(Agenda!E:E,A215,Agenda!N:N),0),"")</f>
        <v/>
      </c>
      <c r="N215" s="54">
        <f>IF(A215&lt;&gt;"",IFERROR(COUNTIF(Agenda!E:E,A215),0),"")</f>
        <v/>
      </c>
      <c r="O215" s="68">
        <f>IF(A215&lt;&gt;"",IFERROR(MAXIFS(Agenda!C:C,Agenda!E:E,A215),""),"")</f>
        <v/>
      </c>
      <c r="P215" s="73" t="n"/>
    </row>
    <row r="216" ht="18" customHeight="1">
      <c r="A216" s="58" t="n"/>
      <c r="B216" s="58" t="n"/>
      <c r="C216" s="56" t="n"/>
      <c r="D216" s="59" t="n"/>
      <c r="E216" s="58" t="n"/>
      <c r="F216" s="62" t="n"/>
      <c r="G216" s="59" t="n"/>
      <c r="H216" s="61" t="n"/>
      <c r="I216" s="56" t="n"/>
      <c r="J216" s="59" t="n"/>
      <c r="K216" s="59" t="n"/>
      <c r="L216" s="59" t="n"/>
      <c r="M216" s="28">
        <f>IF(A216&lt;&gt;"",IFERROR(SUMIF(Agenda!E:E,A216,Agenda!N:N),0),"")</f>
        <v/>
      </c>
      <c r="N216" s="54">
        <f>IF(A216&lt;&gt;"",IFERROR(COUNTIF(Agenda!E:E,A216),0),"")</f>
        <v/>
      </c>
      <c r="O216" s="56">
        <f>IF(A216&lt;&gt;"",IFERROR(MAXIFS(Agenda!C:C,Agenda!E:E,A216),""),"")</f>
        <v/>
      </c>
      <c r="P216" s="61" t="n"/>
    </row>
    <row r="217" ht="18" customHeight="1">
      <c r="A217" s="70" t="n"/>
      <c r="B217" s="70" t="n"/>
      <c r="C217" s="68" t="n"/>
      <c r="D217" s="71" t="n"/>
      <c r="E217" s="70" t="n"/>
      <c r="F217" s="74" t="n"/>
      <c r="G217" s="71" t="n"/>
      <c r="H217" s="73" t="n"/>
      <c r="I217" s="68" t="n"/>
      <c r="J217" s="71" t="n"/>
      <c r="K217" s="71" t="n"/>
      <c r="L217" s="71" t="n"/>
      <c r="M217" s="28">
        <f>IF(A217&lt;&gt;"",IFERROR(SUMIF(Agenda!E:E,A217,Agenda!N:N),0),"")</f>
        <v/>
      </c>
      <c r="N217" s="54">
        <f>IF(A217&lt;&gt;"",IFERROR(COUNTIF(Agenda!E:E,A217),0),"")</f>
        <v/>
      </c>
      <c r="O217" s="68">
        <f>IF(A217&lt;&gt;"",IFERROR(MAXIFS(Agenda!C:C,Agenda!E:E,A217),""),"")</f>
        <v/>
      </c>
      <c r="P217" s="73" t="n"/>
    </row>
    <row r="218" ht="18" customHeight="1">
      <c r="A218" s="58" t="n"/>
      <c r="B218" s="58" t="n"/>
      <c r="C218" s="56" t="n"/>
      <c r="D218" s="59" t="n"/>
      <c r="E218" s="58" t="n"/>
      <c r="F218" s="62" t="n"/>
      <c r="G218" s="59" t="n"/>
      <c r="H218" s="61" t="n"/>
      <c r="I218" s="56" t="n"/>
      <c r="J218" s="59" t="n"/>
      <c r="K218" s="59" t="n"/>
      <c r="L218" s="59" t="n"/>
      <c r="M218" s="28">
        <f>IF(A218&lt;&gt;"",IFERROR(SUMIF(Agenda!E:E,A218,Agenda!N:N),0),"")</f>
        <v/>
      </c>
      <c r="N218" s="54">
        <f>IF(A218&lt;&gt;"",IFERROR(COUNTIF(Agenda!E:E,A218),0),"")</f>
        <v/>
      </c>
      <c r="O218" s="56">
        <f>IF(A218&lt;&gt;"",IFERROR(MAXIFS(Agenda!C:C,Agenda!E:E,A218),""),"")</f>
        <v/>
      </c>
      <c r="P218" s="61" t="n"/>
    </row>
    <row r="219" ht="18" customHeight="1">
      <c r="A219" s="70" t="n"/>
      <c r="B219" s="70" t="n"/>
      <c r="C219" s="68" t="n"/>
      <c r="D219" s="71" t="n"/>
      <c r="E219" s="70" t="n"/>
      <c r="F219" s="74" t="n"/>
      <c r="G219" s="71" t="n"/>
      <c r="H219" s="73" t="n"/>
      <c r="I219" s="68" t="n"/>
      <c r="J219" s="71" t="n"/>
      <c r="K219" s="71" t="n"/>
      <c r="L219" s="71" t="n"/>
      <c r="M219" s="28">
        <f>IF(A219&lt;&gt;"",IFERROR(SUMIF(Agenda!E:E,A219,Agenda!N:N),0),"")</f>
        <v/>
      </c>
      <c r="N219" s="54">
        <f>IF(A219&lt;&gt;"",IFERROR(COUNTIF(Agenda!E:E,A219),0),"")</f>
        <v/>
      </c>
      <c r="O219" s="68">
        <f>IF(A219&lt;&gt;"",IFERROR(MAXIFS(Agenda!C:C,Agenda!E:E,A219),""),"")</f>
        <v/>
      </c>
      <c r="P219" s="73" t="n"/>
    </row>
    <row r="220" ht="18" customHeight="1">
      <c r="A220" s="58" t="n"/>
      <c r="B220" s="58" t="n"/>
      <c r="C220" s="56" t="n"/>
      <c r="D220" s="59" t="n"/>
      <c r="E220" s="58" t="n"/>
      <c r="F220" s="62" t="n"/>
      <c r="G220" s="59" t="n"/>
      <c r="H220" s="61" t="n"/>
      <c r="I220" s="56" t="n"/>
      <c r="J220" s="59" t="n"/>
      <c r="K220" s="59" t="n"/>
      <c r="L220" s="59" t="n"/>
      <c r="M220" s="28">
        <f>IF(A220&lt;&gt;"",IFERROR(SUMIF(Agenda!E:E,A220,Agenda!N:N),0),"")</f>
        <v/>
      </c>
      <c r="N220" s="54">
        <f>IF(A220&lt;&gt;"",IFERROR(COUNTIF(Agenda!E:E,A220),0),"")</f>
        <v/>
      </c>
      <c r="O220" s="56">
        <f>IF(A220&lt;&gt;"",IFERROR(MAXIFS(Agenda!C:C,Agenda!E:E,A220),""),"")</f>
        <v/>
      </c>
      <c r="P220" s="61" t="n"/>
    </row>
    <row r="221" ht="18" customHeight="1">
      <c r="A221" s="70" t="n"/>
      <c r="B221" s="70" t="n"/>
      <c r="C221" s="68" t="n"/>
      <c r="D221" s="71" t="n"/>
      <c r="E221" s="70" t="n"/>
      <c r="F221" s="74" t="n"/>
      <c r="G221" s="71" t="n"/>
      <c r="H221" s="73" t="n"/>
      <c r="I221" s="68" t="n"/>
      <c r="J221" s="71" t="n"/>
      <c r="K221" s="71" t="n"/>
      <c r="L221" s="71" t="n"/>
      <c r="M221" s="28">
        <f>IF(A221&lt;&gt;"",IFERROR(SUMIF(Agenda!E:E,A221,Agenda!N:N),0),"")</f>
        <v/>
      </c>
      <c r="N221" s="54">
        <f>IF(A221&lt;&gt;"",IFERROR(COUNTIF(Agenda!E:E,A221),0),"")</f>
        <v/>
      </c>
      <c r="O221" s="68">
        <f>IF(A221&lt;&gt;"",IFERROR(MAXIFS(Agenda!C:C,Agenda!E:E,A221),""),"")</f>
        <v/>
      </c>
      <c r="P221" s="73" t="n"/>
    </row>
    <row r="222" ht="18" customHeight="1">
      <c r="A222" s="58" t="n"/>
      <c r="B222" s="58" t="n"/>
      <c r="C222" s="56" t="n"/>
      <c r="D222" s="59" t="n"/>
      <c r="E222" s="58" t="n"/>
      <c r="F222" s="62" t="n"/>
      <c r="G222" s="59" t="n"/>
      <c r="H222" s="61" t="n"/>
      <c r="I222" s="56" t="n"/>
      <c r="J222" s="59" t="n"/>
      <c r="K222" s="59" t="n"/>
      <c r="L222" s="59" t="n"/>
      <c r="M222" s="28">
        <f>IF(A222&lt;&gt;"",IFERROR(SUMIF(Agenda!E:E,A222,Agenda!N:N),0),"")</f>
        <v/>
      </c>
      <c r="N222" s="54">
        <f>IF(A222&lt;&gt;"",IFERROR(COUNTIF(Agenda!E:E,A222),0),"")</f>
        <v/>
      </c>
      <c r="O222" s="56">
        <f>IF(A222&lt;&gt;"",IFERROR(MAXIFS(Agenda!C:C,Agenda!E:E,A222),""),"")</f>
        <v/>
      </c>
      <c r="P222" s="61" t="n"/>
    </row>
    <row r="223" ht="18" customHeight="1">
      <c r="A223" s="70" t="n"/>
      <c r="B223" s="70" t="n"/>
      <c r="C223" s="68" t="n"/>
      <c r="D223" s="71" t="n"/>
      <c r="E223" s="70" t="n"/>
      <c r="F223" s="74" t="n"/>
      <c r="G223" s="71" t="n"/>
      <c r="H223" s="73" t="n"/>
      <c r="I223" s="68" t="n"/>
      <c r="J223" s="71" t="n"/>
      <c r="K223" s="71" t="n"/>
      <c r="L223" s="71" t="n"/>
      <c r="M223" s="28">
        <f>IF(A223&lt;&gt;"",IFERROR(SUMIF(Agenda!E:E,A223,Agenda!N:N),0),"")</f>
        <v/>
      </c>
      <c r="N223" s="54">
        <f>IF(A223&lt;&gt;"",IFERROR(COUNTIF(Agenda!E:E,A223),0),"")</f>
        <v/>
      </c>
      <c r="O223" s="68">
        <f>IF(A223&lt;&gt;"",IFERROR(MAXIFS(Agenda!C:C,Agenda!E:E,A223),""),"")</f>
        <v/>
      </c>
      <c r="P223" s="73" t="n"/>
    </row>
    <row r="224" ht="18" customHeight="1">
      <c r="A224" s="58" t="n"/>
      <c r="B224" s="58" t="n"/>
      <c r="C224" s="56" t="n"/>
      <c r="D224" s="59" t="n"/>
      <c r="E224" s="58" t="n"/>
      <c r="F224" s="62" t="n"/>
      <c r="G224" s="59" t="n"/>
      <c r="H224" s="61" t="n"/>
      <c r="I224" s="56" t="n"/>
      <c r="J224" s="59" t="n"/>
      <c r="K224" s="59" t="n"/>
      <c r="L224" s="59" t="n"/>
      <c r="M224" s="28">
        <f>IF(A224&lt;&gt;"",IFERROR(SUMIF(Agenda!E:E,A224,Agenda!N:N),0),"")</f>
        <v/>
      </c>
      <c r="N224" s="54">
        <f>IF(A224&lt;&gt;"",IFERROR(COUNTIF(Agenda!E:E,A224),0),"")</f>
        <v/>
      </c>
      <c r="O224" s="56">
        <f>IF(A224&lt;&gt;"",IFERROR(MAXIFS(Agenda!C:C,Agenda!E:E,A224),""),"")</f>
        <v/>
      </c>
      <c r="P224" s="61" t="n"/>
    </row>
    <row r="225" ht="18" customHeight="1">
      <c r="A225" s="70" t="n"/>
      <c r="B225" s="70" t="n"/>
      <c r="C225" s="68" t="n"/>
      <c r="D225" s="71" t="n"/>
      <c r="E225" s="70" t="n"/>
      <c r="F225" s="74" t="n"/>
      <c r="G225" s="71" t="n"/>
      <c r="H225" s="73" t="n"/>
      <c r="I225" s="68" t="n"/>
      <c r="J225" s="71" t="n"/>
      <c r="K225" s="71" t="n"/>
      <c r="L225" s="71" t="n"/>
      <c r="M225" s="28">
        <f>IF(A225&lt;&gt;"",IFERROR(SUMIF(Agenda!E:E,A225,Agenda!N:N),0),"")</f>
        <v/>
      </c>
      <c r="N225" s="54">
        <f>IF(A225&lt;&gt;"",IFERROR(COUNTIF(Agenda!E:E,A225),0),"")</f>
        <v/>
      </c>
      <c r="O225" s="68">
        <f>IF(A225&lt;&gt;"",IFERROR(MAXIFS(Agenda!C:C,Agenda!E:E,A225),""),"")</f>
        <v/>
      </c>
      <c r="P225" s="73" t="n"/>
    </row>
    <row r="226" ht="18" customHeight="1">
      <c r="A226" s="58" t="n"/>
      <c r="B226" s="58" t="n"/>
      <c r="C226" s="56" t="n"/>
      <c r="D226" s="59" t="n"/>
      <c r="E226" s="58" t="n"/>
      <c r="F226" s="62" t="n"/>
      <c r="G226" s="59" t="n"/>
      <c r="H226" s="61" t="n"/>
      <c r="I226" s="56" t="n"/>
      <c r="J226" s="59" t="n"/>
      <c r="K226" s="59" t="n"/>
      <c r="L226" s="59" t="n"/>
      <c r="M226" s="28">
        <f>IF(A226&lt;&gt;"",IFERROR(SUMIF(Agenda!E:E,A226,Agenda!N:N),0),"")</f>
        <v/>
      </c>
      <c r="N226" s="54">
        <f>IF(A226&lt;&gt;"",IFERROR(COUNTIF(Agenda!E:E,A226),0),"")</f>
        <v/>
      </c>
      <c r="O226" s="56">
        <f>IF(A226&lt;&gt;"",IFERROR(MAXIFS(Agenda!C:C,Agenda!E:E,A226),""),"")</f>
        <v/>
      </c>
      <c r="P226" s="61" t="n"/>
    </row>
    <row r="227" ht="18" customHeight="1">
      <c r="A227" s="70" t="n"/>
      <c r="B227" s="70" t="n"/>
      <c r="C227" s="68" t="n"/>
      <c r="D227" s="71" t="n"/>
      <c r="E227" s="70" t="n"/>
      <c r="F227" s="74" t="n"/>
      <c r="G227" s="71" t="n"/>
      <c r="H227" s="73" t="n"/>
      <c r="I227" s="68" t="n"/>
      <c r="J227" s="71" t="n"/>
      <c r="K227" s="71" t="n"/>
      <c r="L227" s="71" t="n"/>
      <c r="M227" s="28">
        <f>IF(A227&lt;&gt;"",IFERROR(SUMIF(Agenda!E:E,A227,Agenda!N:N),0),"")</f>
        <v/>
      </c>
      <c r="N227" s="54">
        <f>IF(A227&lt;&gt;"",IFERROR(COUNTIF(Agenda!E:E,A227),0),"")</f>
        <v/>
      </c>
      <c r="O227" s="68">
        <f>IF(A227&lt;&gt;"",IFERROR(MAXIFS(Agenda!C:C,Agenda!E:E,A227),""),"")</f>
        <v/>
      </c>
      <c r="P227" s="73" t="n"/>
    </row>
    <row r="228" ht="18" customHeight="1">
      <c r="A228" s="58" t="n"/>
      <c r="B228" s="58" t="n"/>
      <c r="C228" s="56" t="n"/>
      <c r="D228" s="59" t="n"/>
      <c r="E228" s="58" t="n"/>
      <c r="F228" s="62" t="n"/>
      <c r="G228" s="59" t="n"/>
      <c r="H228" s="61" t="n"/>
      <c r="I228" s="56" t="n"/>
      <c r="J228" s="59" t="n"/>
      <c r="K228" s="59" t="n"/>
      <c r="L228" s="59" t="n"/>
      <c r="M228" s="28">
        <f>IF(A228&lt;&gt;"",IFERROR(SUMIF(Agenda!E:E,A228,Agenda!N:N),0),"")</f>
        <v/>
      </c>
      <c r="N228" s="54">
        <f>IF(A228&lt;&gt;"",IFERROR(COUNTIF(Agenda!E:E,A228),0),"")</f>
        <v/>
      </c>
      <c r="O228" s="56">
        <f>IF(A228&lt;&gt;"",IFERROR(MAXIFS(Agenda!C:C,Agenda!E:E,A228),""),"")</f>
        <v/>
      </c>
      <c r="P228" s="61" t="n"/>
    </row>
    <row r="229" ht="18" customHeight="1">
      <c r="A229" s="70" t="n"/>
      <c r="B229" s="70" t="n"/>
      <c r="C229" s="68" t="n"/>
      <c r="D229" s="71" t="n"/>
      <c r="E229" s="70" t="n"/>
      <c r="F229" s="74" t="n"/>
      <c r="G229" s="71" t="n"/>
      <c r="H229" s="73" t="n"/>
      <c r="I229" s="68" t="n"/>
      <c r="J229" s="71" t="n"/>
      <c r="K229" s="71" t="n"/>
      <c r="L229" s="71" t="n"/>
      <c r="M229" s="28">
        <f>IF(A229&lt;&gt;"",IFERROR(SUMIF(Agenda!E:E,A229,Agenda!N:N),0),"")</f>
        <v/>
      </c>
      <c r="N229" s="54">
        <f>IF(A229&lt;&gt;"",IFERROR(COUNTIF(Agenda!E:E,A229),0),"")</f>
        <v/>
      </c>
      <c r="O229" s="68">
        <f>IF(A229&lt;&gt;"",IFERROR(MAXIFS(Agenda!C:C,Agenda!E:E,A229),""),"")</f>
        <v/>
      </c>
      <c r="P229" s="73" t="n"/>
    </row>
    <row r="230" ht="18" customHeight="1">
      <c r="A230" s="58" t="n"/>
      <c r="B230" s="58" t="n"/>
      <c r="C230" s="56" t="n"/>
      <c r="D230" s="59" t="n"/>
      <c r="E230" s="58" t="n"/>
      <c r="F230" s="62" t="n"/>
      <c r="G230" s="59" t="n"/>
      <c r="H230" s="61" t="n"/>
      <c r="I230" s="56" t="n"/>
      <c r="J230" s="59" t="n"/>
      <c r="K230" s="59" t="n"/>
      <c r="L230" s="59" t="n"/>
      <c r="M230" s="28">
        <f>IF(A230&lt;&gt;"",IFERROR(SUMIF(Agenda!E:E,A230,Agenda!N:N),0),"")</f>
        <v/>
      </c>
      <c r="N230" s="54">
        <f>IF(A230&lt;&gt;"",IFERROR(COUNTIF(Agenda!E:E,A230),0),"")</f>
        <v/>
      </c>
      <c r="O230" s="56">
        <f>IF(A230&lt;&gt;"",IFERROR(MAXIFS(Agenda!C:C,Agenda!E:E,A230),""),"")</f>
        <v/>
      </c>
      <c r="P230" s="61" t="n"/>
    </row>
    <row r="231" ht="18" customHeight="1">
      <c r="A231" s="70" t="n"/>
      <c r="B231" s="70" t="n"/>
      <c r="C231" s="68" t="n"/>
      <c r="D231" s="71" t="n"/>
      <c r="E231" s="70" t="n"/>
      <c r="F231" s="74" t="n"/>
      <c r="G231" s="71" t="n"/>
      <c r="H231" s="73" t="n"/>
      <c r="I231" s="68" t="n"/>
      <c r="J231" s="71" t="n"/>
      <c r="K231" s="71" t="n"/>
      <c r="L231" s="71" t="n"/>
      <c r="M231" s="28">
        <f>IF(A231&lt;&gt;"",IFERROR(SUMIF(Agenda!E:E,A231,Agenda!N:N),0),"")</f>
        <v/>
      </c>
      <c r="N231" s="54">
        <f>IF(A231&lt;&gt;"",IFERROR(COUNTIF(Agenda!E:E,A231),0),"")</f>
        <v/>
      </c>
      <c r="O231" s="68">
        <f>IF(A231&lt;&gt;"",IFERROR(MAXIFS(Agenda!C:C,Agenda!E:E,A231),""),"")</f>
        <v/>
      </c>
      <c r="P231" s="73" t="n"/>
    </row>
    <row r="232" ht="18" customHeight="1">
      <c r="A232" s="58" t="n"/>
      <c r="B232" s="58" t="n"/>
      <c r="C232" s="56" t="n"/>
      <c r="D232" s="59" t="n"/>
      <c r="E232" s="58" t="n"/>
      <c r="F232" s="62" t="n"/>
      <c r="G232" s="59" t="n"/>
      <c r="H232" s="61" t="n"/>
      <c r="I232" s="56" t="n"/>
      <c r="J232" s="59" t="n"/>
      <c r="K232" s="59" t="n"/>
      <c r="L232" s="59" t="n"/>
      <c r="M232" s="28">
        <f>IF(A232&lt;&gt;"",IFERROR(SUMIF(Agenda!E:E,A232,Agenda!N:N),0),"")</f>
        <v/>
      </c>
      <c r="N232" s="54">
        <f>IF(A232&lt;&gt;"",IFERROR(COUNTIF(Agenda!E:E,A232),0),"")</f>
        <v/>
      </c>
      <c r="O232" s="56">
        <f>IF(A232&lt;&gt;"",IFERROR(MAXIFS(Agenda!C:C,Agenda!E:E,A232),""),"")</f>
        <v/>
      </c>
      <c r="P232" s="61" t="n"/>
    </row>
    <row r="233" ht="18" customHeight="1">
      <c r="A233" s="70" t="n"/>
      <c r="B233" s="70" t="n"/>
      <c r="C233" s="68" t="n"/>
      <c r="D233" s="71" t="n"/>
      <c r="E233" s="70" t="n"/>
      <c r="F233" s="74" t="n"/>
      <c r="G233" s="71" t="n"/>
      <c r="H233" s="73" t="n"/>
      <c r="I233" s="68" t="n"/>
      <c r="J233" s="71" t="n"/>
      <c r="K233" s="71" t="n"/>
      <c r="L233" s="71" t="n"/>
      <c r="M233" s="28">
        <f>IF(A233&lt;&gt;"",IFERROR(SUMIF(Agenda!E:E,A233,Agenda!N:N),0),"")</f>
        <v/>
      </c>
      <c r="N233" s="54">
        <f>IF(A233&lt;&gt;"",IFERROR(COUNTIF(Agenda!E:E,A233),0),"")</f>
        <v/>
      </c>
      <c r="O233" s="68">
        <f>IF(A233&lt;&gt;"",IFERROR(MAXIFS(Agenda!C:C,Agenda!E:E,A233),""),"")</f>
        <v/>
      </c>
      <c r="P233" s="73" t="n"/>
    </row>
    <row r="234" ht="18" customHeight="1">
      <c r="A234" s="58" t="n"/>
      <c r="B234" s="58" t="n"/>
      <c r="C234" s="56" t="n"/>
      <c r="D234" s="59" t="n"/>
      <c r="E234" s="58" t="n"/>
      <c r="F234" s="62" t="n"/>
      <c r="G234" s="59" t="n"/>
      <c r="H234" s="61" t="n"/>
      <c r="I234" s="56" t="n"/>
      <c r="J234" s="59" t="n"/>
      <c r="K234" s="59" t="n"/>
      <c r="L234" s="59" t="n"/>
      <c r="M234" s="28">
        <f>IF(A234&lt;&gt;"",IFERROR(SUMIF(Agenda!E:E,A234,Agenda!N:N),0),"")</f>
        <v/>
      </c>
      <c r="N234" s="54">
        <f>IF(A234&lt;&gt;"",IFERROR(COUNTIF(Agenda!E:E,A234),0),"")</f>
        <v/>
      </c>
      <c r="O234" s="56">
        <f>IF(A234&lt;&gt;"",IFERROR(MAXIFS(Agenda!C:C,Agenda!E:E,A234),""),"")</f>
        <v/>
      </c>
      <c r="P234" s="61" t="n"/>
    </row>
    <row r="235" ht="18" customHeight="1">
      <c r="A235" s="70" t="n"/>
      <c r="B235" s="70" t="n"/>
      <c r="C235" s="68" t="n"/>
      <c r="D235" s="71" t="n"/>
      <c r="E235" s="70" t="n"/>
      <c r="F235" s="74" t="n"/>
      <c r="G235" s="71" t="n"/>
      <c r="H235" s="73" t="n"/>
      <c r="I235" s="68" t="n"/>
      <c r="J235" s="71" t="n"/>
      <c r="K235" s="71" t="n"/>
      <c r="L235" s="71" t="n"/>
      <c r="M235" s="28">
        <f>IF(A235&lt;&gt;"",IFERROR(SUMIF(Agenda!E:E,A235,Agenda!N:N),0),"")</f>
        <v/>
      </c>
      <c r="N235" s="54">
        <f>IF(A235&lt;&gt;"",IFERROR(COUNTIF(Agenda!E:E,A235),0),"")</f>
        <v/>
      </c>
      <c r="O235" s="68">
        <f>IF(A235&lt;&gt;"",IFERROR(MAXIFS(Agenda!C:C,Agenda!E:E,A235),""),"")</f>
        <v/>
      </c>
      <c r="P235" s="73" t="n"/>
    </row>
    <row r="236" ht="18" customHeight="1">
      <c r="A236" s="58" t="n"/>
      <c r="B236" s="58" t="n"/>
      <c r="C236" s="56" t="n"/>
      <c r="D236" s="59" t="n"/>
      <c r="E236" s="58" t="n"/>
      <c r="F236" s="62" t="n"/>
      <c r="G236" s="59" t="n"/>
      <c r="H236" s="61" t="n"/>
      <c r="I236" s="56" t="n"/>
      <c r="J236" s="59" t="n"/>
      <c r="K236" s="59" t="n"/>
      <c r="L236" s="59" t="n"/>
      <c r="M236" s="28">
        <f>IF(A236&lt;&gt;"",IFERROR(SUMIF(Agenda!E:E,A236,Agenda!N:N),0),"")</f>
        <v/>
      </c>
      <c r="N236" s="54">
        <f>IF(A236&lt;&gt;"",IFERROR(COUNTIF(Agenda!E:E,A236),0),"")</f>
        <v/>
      </c>
      <c r="O236" s="56">
        <f>IF(A236&lt;&gt;"",IFERROR(MAXIFS(Agenda!C:C,Agenda!E:E,A236),""),"")</f>
        <v/>
      </c>
      <c r="P236" s="61" t="n"/>
    </row>
    <row r="237" ht="18" customHeight="1">
      <c r="A237" s="70" t="n"/>
      <c r="B237" s="70" t="n"/>
      <c r="C237" s="68" t="n"/>
      <c r="D237" s="71" t="n"/>
      <c r="E237" s="70" t="n"/>
      <c r="F237" s="74" t="n"/>
      <c r="G237" s="71" t="n"/>
      <c r="H237" s="73" t="n"/>
      <c r="I237" s="68" t="n"/>
      <c r="J237" s="71" t="n"/>
      <c r="K237" s="71" t="n"/>
      <c r="L237" s="71" t="n"/>
      <c r="M237" s="28">
        <f>IF(A237&lt;&gt;"",IFERROR(SUMIF(Agenda!E:E,A237,Agenda!N:N),0),"")</f>
        <v/>
      </c>
      <c r="N237" s="54">
        <f>IF(A237&lt;&gt;"",IFERROR(COUNTIF(Agenda!E:E,A237),0),"")</f>
        <v/>
      </c>
      <c r="O237" s="68">
        <f>IF(A237&lt;&gt;"",IFERROR(MAXIFS(Agenda!C:C,Agenda!E:E,A237),""),"")</f>
        <v/>
      </c>
      <c r="P237" s="73" t="n"/>
    </row>
    <row r="238" ht="18" customHeight="1">
      <c r="A238" s="58" t="n"/>
      <c r="B238" s="58" t="n"/>
      <c r="C238" s="56" t="n"/>
      <c r="D238" s="59" t="n"/>
      <c r="E238" s="58" t="n"/>
      <c r="F238" s="62" t="n"/>
      <c r="G238" s="59" t="n"/>
      <c r="H238" s="61" t="n"/>
      <c r="I238" s="56" t="n"/>
      <c r="J238" s="59" t="n"/>
      <c r="K238" s="59" t="n"/>
      <c r="L238" s="59" t="n"/>
      <c r="M238" s="28">
        <f>IF(A238&lt;&gt;"",IFERROR(SUMIF(Agenda!E:E,A238,Agenda!N:N),0),"")</f>
        <v/>
      </c>
      <c r="N238" s="54">
        <f>IF(A238&lt;&gt;"",IFERROR(COUNTIF(Agenda!E:E,A238),0),"")</f>
        <v/>
      </c>
      <c r="O238" s="56">
        <f>IF(A238&lt;&gt;"",IFERROR(MAXIFS(Agenda!C:C,Agenda!E:E,A238),""),"")</f>
        <v/>
      </c>
      <c r="P238" s="61" t="n"/>
    </row>
    <row r="239" ht="18" customHeight="1">
      <c r="A239" s="70" t="n"/>
      <c r="B239" s="70" t="n"/>
      <c r="C239" s="68" t="n"/>
      <c r="D239" s="71" t="n"/>
      <c r="E239" s="70" t="n"/>
      <c r="F239" s="74" t="n"/>
      <c r="G239" s="71" t="n"/>
      <c r="H239" s="73" t="n"/>
      <c r="I239" s="68" t="n"/>
      <c r="J239" s="71" t="n"/>
      <c r="K239" s="71" t="n"/>
      <c r="L239" s="71" t="n"/>
      <c r="M239" s="28">
        <f>IF(A239&lt;&gt;"",IFERROR(SUMIF(Agenda!E:E,A239,Agenda!N:N),0),"")</f>
        <v/>
      </c>
      <c r="N239" s="54">
        <f>IF(A239&lt;&gt;"",IFERROR(COUNTIF(Agenda!E:E,A239),0),"")</f>
        <v/>
      </c>
      <c r="O239" s="68">
        <f>IF(A239&lt;&gt;"",IFERROR(MAXIFS(Agenda!C:C,Agenda!E:E,A239),""),"")</f>
        <v/>
      </c>
      <c r="P239" s="73" t="n"/>
    </row>
    <row r="240" ht="18" customHeight="1">
      <c r="A240" s="58" t="n"/>
      <c r="B240" s="58" t="n"/>
      <c r="C240" s="56" t="n"/>
      <c r="D240" s="59" t="n"/>
      <c r="E240" s="58" t="n"/>
      <c r="F240" s="62" t="n"/>
      <c r="G240" s="59" t="n"/>
      <c r="H240" s="61" t="n"/>
      <c r="I240" s="56" t="n"/>
      <c r="J240" s="59" t="n"/>
      <c r="K240" s="59" t="n"/>
      <c r="L240" s="59" t="n"/>
      <c r="M240" s="28">
        <f>IF(A240&lt;&gt;"",IFERROR(SUMIF(Agenda!E:E,A240,Agenda!N:N),0),"")</f>
        <v/>
      </c>
      <c r="N240" s="54">
        <f>IF(A240&lt;&gt;"",IFERROR(COUNTIF(Agenda!E:E,A240),0),"")</f>
        <v/>
      </c>
      <c r="O240" s="56">
        <f>IF(A240&lt;&gt;"",IFERROR(MAXIFS(Agenda!C:C,Agenda!E:E,A240),""),"")</f>
        <v/>
      </c>
      <c r="P240" s="61" t="n"/>
    </row>
    <row r="241" ht="18" customHeight="1">
      <c r="A241" s="70" t="n"/>
      <c r="B241" s="70" t="n"/>
      <c r="C241" s="68" t="n"/>
      <c r="D241" s="71" t="n"/>
      <c r="E241" s="70" t="n"/>
      <c r="F241" s="74" t="n"/>
      <c r="G241" s="71" t="n"/>
      <c r="H241" s="73" t="n"/>
      <c r="I241" s="68" t="n"/>
      <c r="J241" s="71" t="n"/>
      <c r="K241" s="71" t="n"/>
      <c r="L241" s="71" t="n"/>
      <c r="M241" s="28">
        <f>IF(A241&lt;&gt;"",IFERROR(SUMIF(Agenda!E:E,A241,Agenda!N:N),0),"")</f>
        <v/>
      </c>
      <c r="N241" s="54">
        <f>IF(A241&lt;&gt;"",IFERROR(COUNTIF(Agenda!E:E,A241),0),"")</f>
        <v/>
      </c>
      <c r="O241" s="68">
        <f>IF(A241&lt;&gt;"",IFERROR(MAXIFS(Agenda!C:C,Agenda!E:E,A241),""),"")</f>
        <v/>
      </c>
      <c r="P241" s="73" t="n"/>
    </row>
    <row r="242" ht="18" customHeight="1">
      <c r="A242" s="58" t="n"/>
      <c r="B242" s="58" t="n"/>
      <c r="C242" s="56" t="n"/>
      <c r="D242" s="59" t="n"/>
      <c r="E242" s="58" t="n"/>
      <c r="F242" s="62" t="n"/>
      <c r="G242" s="59" t="n"/>
      <c r="H242" s="61" t="n"/>
      <c r="I242" s="56" t="n"/>
      <c r="J242" s="59" t="n"/>
      <c r="K242" s="59" t="n"/>
      <c r="L242" s="59" t="n"/>
      <c r="M242" s="28">
        <f>IF(A242&lt;&gt;"",IFERROR(SUMIF(Agenda!E:E,A242,Agenda!N:N),0),"")</f>
        <v/>
      </c>
      <c r="N242" s="54">
        <f>IF(A242&lt;&gt;"",IFERROR(COUNTIF(Agenda!E:E,A242),0),"")</f>
        <v/>
      </c>
      <c r="O242" s="56">
        <f>IF(A242&lt;&gt;"",IFERROR(MAXIFS(Agenda!C:C,Agenda!E:E,A242),""),"")</f>
        <v/>
      </c>
      <c r="P242" s="61" t="n"/>
    </row>
    <row r="243" ht="18" customHeight="1">
      <c r="A243" s="70" t="n"/>
      <c r="B243" s="70" t="n"/>
      <c r="C243" s="68" t="n"/>
      <c r="D243" s="71" t="n"/>
      <c r="E243" s="70" t="n"/>
      <c r="F243" s="74" t="n"/>
      <c r="G243" s="71" t="n"/>
      <c r="H243" s="73" t="n"/>
      <c r="I243" s="68" t="n"/>
      <c r="J243" s="71" t="n"/>
      <c r="K243" s="71" t="n"/>
      <c r="L243" s="71" t="n"/>
      <c r="M243" s="28">
        <f>IF(A243&lt;&gt;"",IFERROR(SUMIF(Agenda!E:E,A243,Agenda!N:N),0),"")</f>
        <v/>
      </c>
      <c r="N243" s="54">
        <f>IF(A243&lt;&gt;"",IFERROR(COUNTIF(Agenda!E:E,A243),0),"")</f>
        <v/>
      </c>
      <c r="O243" s="68">
        <f>IF(A243&lt;&gt;"",IFERROR(MAXIFS(Agenda!C:C,Agenda!E:E,A243),""),"")</f>
        <v/>
      </c>
      <c r="P243" s="73" t="n"/>
    </row>
    <row r="244" ht="18" customHeight="1">
      <c r="A244" s="58" t="n"/>
      <c r="B244" s="58" t="n"/>
      <c r="C244" s="56" t="n"/>
      <c r="D244" s="59" t="n"/>
      <c r="E244" s="58" t="n"/>
      <c r="F244" s="62" t="n"/>
      <c r="G244" s="59" t="n"/>
      <c r="H244" s="61" t="n"/>
      <c r="I244" s="56" t="n"/>
      <c r="J244" s="59" t="n"/>
      <c r="K244" s="59" t="n"/>
      <c r="L244" s="59" t="n"/>
      <c r="M244" s="28">
        <f>IF(A244&lt;&gt;"",IFERROR(SUMIF(Agenda!E:E,A244,Agenda!N:N),0),"")</f>
        <v/>
      </c>
      <c r="N244" s="54">
        <f>IF(A244&lt;&gt;"",IFERROR(COUNTIF(Agenda!E:E,A244),0),"")</f>
        <v/>
      </c>
      <c r="O244" s="56">
        <f>IF(A244&lt;&gt;"",IFERROR(MAXIFS(Agenda!C:C,Agenda!E:E,A244),""),"")</f>
        <v/>
      </c>
      <c r="P244" s="61" t="n"/>
    </row>
    <row r="245" ht="18" customHeight="1">
      <c r="A245" s="70" t="n"/>
      <c r="B245" s="70" t="n"/>
      <c r="C245" s="68" t="n"/>
      <c r="D245" s="71" t="n"/>
      <c r="E245" s="70" t="n"/>
      <c r="F245" s="74" t="n"/>
      <c r="G245" s="71" t="n"/>
      <c r="H245" s="73" t="n"/>
      <c r="I245" s="68" t="n"/>
      <c r="J245" s="71" t="n"/>
      <c r="K245" s="71" t="n"/>
      <c r="L245" s="71" t="n"/>
      <c r="M245" s="28">
        <f>IF(A245&lt;&gt;"",IFERROR(SUMIF(Agenda!E:E,A245,Agenda!N:N),0),"")</f>
        <v/>
      </c>
      <c r="N245" s="54">
        <f>IF(A245&lt;&gt;"",IFERROR(COUNTIF(Agenda!E:E,A245),0),"")</f>
        <v/>
      </c>
      <c r="O245" s="68">
        <f>IF(A245&lt;&gt;"",IFERROR(MAXIFS(Agenda!C:C,Agenda!E:E,A245),""),"")</f>
        <v/>
      </c>
      <c r="P245" s="73" t="n"/>
    </row>
    <row r="246" ht="18" customHeight="1">
      <c r="A246" s="58" t="n"/>
      <c r="B246" s="58" t="n"/>
      <c r="C246" s="56" t="n"/>
      <c r="D246" s="59" t="n"/>
      <c r="E246" s="58" t="n"/>
      <c r="F246" s="62" t="n"/>
      <c r="G246" s="59" t="n"/>
      <c r="H246" s="61" t="n"/>
      <c r="I246" s="56" t="n"/>
      <c r="J246" s="59" t="n"/>
      <c r="K246" s="59" t="n"/>
      <c r="L246" s="59" t="n"/>
      <c r="M246" s="28">
        <f>IF(A246&lt;&gt;"",IFERROR(SUMIF(Agenda!E:E,A246,Agenda!N:N),0),"")</f>
        <v/>
      </c>
      <c r="N246" s="54">
        <f>IF(A246&lt;&gt;"",IFERROR(COUNTIF(Agenda!E:E,A246),0),"")</f>
        <v/>
      </c>
      <c r="O246" s="56">
        <f>IF(A246&lt;&gt;"",IFERROR(MAXIFS(Agenda!C:C,Agenda!E:E,A246),""),"")</f>
        <v/>
      </c>
      <c r="P246" s="61" t="n"/>
    </row>
    <row r="247" ht="18" customHeight="1">
      <c r="A247" s="70" t="n"/>
      <c r="B247" s="70" t="n"/>
      <c r="C247" s="68" t="n"/>
      <c r="D247" s="71" t="n"/>
      <c r="E247" s="70" t="n"/>
      <c r="F247" s="74" t="n"/>
      <c r="G247" s="71" t="n"/>
      <c r="H247" s="73" t="n"/>
      <c r="I247" s="68" t="n"/>
      <c r="J247" s="71" t="n"/>
      <c r="K247" s="71" t="n"/>
      <c r="L247" s="71" t="n"/>
      <c r="M247" s="28">
        <f>IF(A247&lt;&gt;"",IFERROR(SUMIF(Agenda!E:E,A247,Agenda!N:N),0),"")</f>
        <v/>
      </c>
      <c r="N247" s="54">
        <f>IF(A247&lt;&gt;"",IFERROR(COUNTIF(Agenda!E:E,A247),0),"")</f>
        <v/>
      </c>
      <c r="O247" s="68">
        <f>IF(A247&lt;&gt;"",IFERROR(MAXIFS(Agenda!C:C,Agenda!E:E,A247),""),"")</f>
        <v/>
      </c>
      <c r="P247" s="73" t="n"/>
    </row>
    <row r="248" ht="18" customHeight="1">
      <c r="A248" s="58" t="n"/>
      <c r="B248" s="58" t="n"/>
      <c r="C248" s="56" t="n"/>
      <c r="D248" s="59" t="n"/>
      <c r="E248" s="58" t="n"/>
      <c r="F248" s="62" t="n"/>
      <c r="G248" s="59" t="n"/>
      <c r="H248" s="61" t="n"/>
      <c r="I248" s="56" t="n"/>
      <c r="J248" s="59" t="n"/>
      <c r="K248" s="59" t="n"/>
      <c r="L248" s="59" t="n"/>
      <c r="M248" s="28">
        <f>IF(A248&lt;&gt;"",IFERROR(SUMIF(Agenda!E:E,A248,Agenda!N:N),0),"")</f>
        <v/>
      </c>
      <c r="N248" s="54">
        <f>IF(A248&lt;&gt;"",IFERROR(COUNTIF(Agenda!E:E,A248),0),"")</f>
        <v/>
      </c>
      <c r="O248" s="56">
        <f>IF(A248&lt;&gt;"",IFERROR(MAXIFS(Agenda!C:C,Agenda!E:E,A248),""),"")</f>
        <v/>
      </c>
      <c r="P248" s="61" t="n"/>
    </row>
    <row r="249" ht="18" customHeight="1">
      <c r="A249" s="70" t="n"/>
      <c r="B249" s="70" t="n"/>
      <c r="C249" s="68" t="n"/>
      <c r="D249" s="71" t="n"/>
      <c r="E249" s="70" t="n"/>
      <c r="F249" s="74" t="n"/>
      <c r="G249" s="71" t="n"/>
      <c r="H249" s="73" t="n"/>
      <c r="I249" s="68" t="n"/>
      <c r="J249" s="71" t="n"/>
      <c r="K249" s="71" t="n"/>
      <c r="L249" s="71" t="n"/>
      <c r="M249" s="28">
        <f>IF(A249&lt;&gt;"",IFERROR(SUMIF(Agenda!E:E,A249,Agenda!N:N),0),"")</f>
        <v/>
      </c>
      <c r="N249" s="54">
        <f>IF(A249&lt;&gt;"",IFERROR(COUNTIF(Agenda!E:E,A249),0),"")</f>
        <v/>
      </c>
      <c r="O249" s="68">
        <f>IF(A249&lt;&gt;"",IFERROR(MAXIFS(Agenda!C:C,Agenda!E:E,A249),""),"")</f>
        <v/>
      </c>
      <c r="P249" s="73" t="n"/>
    </row>
    <row r="250" ht="18" customHeight="1">
      <c r="A250" s="58" t="n"/>
      <c r="B250" s="58" t="n"/>
      <c r="C250" s="56" t="n"/>
      <c r="D250" s="59" t="n"/>
      <c r="E250" s="58" t="n"/>
      <c r="F250" s="62" t="n"/>
      <c r="G250" s="59" t="n"/>
      <c r="H250" s="61" t="n"/>
      <c r="I250" s="56" t="n"/>
      <c r="J250" s="59" t="n"/>
      <c r="K250" s="59" t="n"/>
      <c r="L250" s="59" t="n"/>
      <c r="M250" s="28">
        <f>IF(A250&lt;&gt;"",IFERROR(SUMIF(Agenda!E:E,A250,Agenda!N:N),0),"")</f>
        <v/>
      </c>
      <c r="N250" s="54">
        <f>IF(A250&lt;&gt;"",IFERROR(COUNTIF(Agenda!E:E,A250),0),"")</f>
        <v/>
      </c>
      <c r="O250" s="56">
        <f>IF(A250&lt;&gt;"",IFERROR(MAXIFS(Agenda!C:C,Agenda!E:E,A250),""),"")</f>
        <v/>
      </c>
      <c r="P250" s="61" t="n"/>
    </row>
    <row r="251" ht="18" customHeight="1">
      <c r="A251" s="70" t="n"/>
      <c r="B251" s="70" t="n"/>
      <c r="C251" s="68" t="n"/>
      <c r="D251" s="71" t="n"/>
      <c r="E251" s="70" t="n"/>
      <c r="F251" s="74" t="n"/>
      <c r="G251" s="71" t="n"/>
      <c r="H251" s="73" t="n"/>
      <c r="I251" s="68" t="n"/>
      <c r="J251" s="71" t="n"/>
      <c r="K251" s="71" t="n"/>
      <c r="L251" s="71" t="n"/>
      <c r="M251" s="28">
        <f>IF(A251&lt;&gt;"",IFERROR(SUMIF(Agenda!E:E,A251,Agenda!N:N),0),"")</f>
        <v/>
      </c>
      <c r="N251" s="54">
        <f>IF(A251&lt;&gt;"",IFERROR(COUNTIF(Agenda!E:E,A251),0),"")</f>
        <v/>
      </c>
      <c r="O251" s="68">
        <f>IF(A251&lt;&gt;"",IFERROR(MAXIFS(Agenda!C:C,Agenda!E:E,A251),""),"")</f>
        <v/>
      </c>
      <c r="P251" s="73" t="n"/>
    </row>
    <row r="252" ht="18" customHeight="1">
      <c r="A252" s="58" t="n"/>
      <c r="B252" s="58" t="n"/>
      <c r="C252" s="56" t="n"/>
      <c r="D252" s="59" t="n"/>
      <c r="E252" s="58" t="n"/>
      <c r="F252" s="62" t="n"/>
      <c r="G252" s="59" t="n"/>
      <c r="H252" s="61" t="n"/>
      <c r="I252" s="56" t="n"/>
      <c r="J252" s="59" t="n"/>
      <c r="K252" s="59" t="n"/>
      <c r="L252" s="59" t="n"/>
      <c r="M252" s="28">
        <f>IF(A252&lt;&gt;"",IFERROR(SUMIF(Agenda!E:E,A252,Agenda!N:N),0),"")</f>
        <v/>
      </c>
      <c r="N252" s="54">
        <f>IF(A252&lt;&gt;"",IFERROR(COUNTIF(Agenda!E:E,A252),0),"")</f>
        <v/>
      </c>
      <c r="O252" s="56">
        <f>IF(A252&lt;&gt;"",IFERROR(MAXIFS(Agenda!C:C,Agenda!E:E,A252),""),"")</f>
        <v/>
      </c>
      <c r="P252" s="61" t="n"/>
    </row>
    <row r="253" ht="18" customHeight="1">
      <c r="A253" s="70" t="n"/>
      <c r="B253" s="70" t="n"/>
      <c r="C253" s="68" t="n"/>
      <c r="D253" s="71" t="n"/>
      <c r="E253" s="70" t="n"/>
      <c r="F253" s="74" t="n"/>
      <c r="G253" s="71" t="n"/>
      <c r="H253" s="73" t="n"/>
      <c r="I253" s="68" t="n"/>
      <c r="J253" s="71" t="n"/>
      <c r="K253" s="71" t="n"/>
      <c r="L253" s="71" t="n"/>
      <c r="M253" s="28">
        <f>IF(A253&lt;&gt;"",IFERROR(SUMIF(Agenda!E:E,A253,Agenda!N:N),0),"")</f>
        <v/>
      </c>
      <c r="N253" s="54">
        <f>IF(A253&lt;&gt;"",IFERROR(COUNTIF(Agenda!E:E,A253),0),"")</f>
        <v/>
      </c>
      <c r="O253" s="68">
        <f>IF(A253&lt;&gt;"",IFERROR(MAXIFS(Agenda!C:C,Agenda!E:E,A253),""),"")</f>
        <v/>
      </c>
      <c r="P253" s="73" t="n"/>
    </row>
    <row r="254" ht="18" customHeight="1">
      <c r="A254" s="58" t="n"/>
      <c r="B254" s="58" t="n"/>
      <c r="C254" s="56" t="n"/>
      <c r="D254" s="59" t="n"/>
      <c r="E254" s="58" t="n"/>
      <c r="F254" s="62" t="n"/>
      <c r="G254" s="59" t="n"/>
      <c r="H254" s="61" t="n"/>
      <c r="I254" s="56" t="n"/>
      <c r="J254" s="59" t="n"/>
      <c r="K254" s="59" t="n"/>
      <c r="L254" s="59" t="n"/>
      <c r="M254" s="28">
        <f>IF(A254&lt;&gt;"",IFERROR(SUMIF(Agenda!E:E,A254,Agenda!N:N),0),"")</f>
        <v/>
      </c>
      <c r="N254" s="54">
        <f>IF(A254&lt;&gt;"",IFERROR(COUNTIF(Agenda!E:E,A254),0),"")</f>
        <v/>
      </c>
      <c r="O254" s="56">
        <f>IF(A254&lt;&gt;"",IFERROR(MAXIFS(Agenda!C:C,Agenda!E:E,A254),""),"")</f>
        <v/>
      </c>
      <c r="P254" s="61" t="n"/>
    </row>
    <row r="255" ht="18" customHeight="1">
      <c r="A255" s="70" t="n"/>
      <c r="B255" s="70" t="n"/>
      <c r="C255" s="68" t="n"/>
      <c r="D255" s="71" t="n"/>
      <c r="E255" s="70" t="n"/>
      <c r="F255" s="74" t="n"/>
      <c r="G255" s="71" t="n"/>
      <c r="H255" s="73" t="n"/>
      <c r="I255" s="68" t="n"/>
      <c r="J255" s="71" t="n"/>
      <c r="K255" s="71" t="n"/>
      <c r="L255" s="71" t="n"/>
      <c r="M255" s="28">
        <f>IF(A255&lt;&gt;"",IFERROR(SUMIF(Agenda!E:E,A255,Agenda!N:N),0),"")</f>
        <v/>
      </c>
      <c r="N255" s="54">
        <f>IF(A255&lt;&gt;"",IFERROR(COUNTIF(Agenda!E:E,A255),0),"")</f>
        <v/>
      </c>
      <c r="O255" s="68">
        <f>IF(A255&lt;&gt;"",IFERROR(MAXIFS(Agenda!C:C,Agenda!E:E,A255),""),"")</f>
        <v/>
      </c>
      <c r="P255" s="73" t="n"/>
    </row>
    <row r="256" ht="18" customHeight="1">
      <c r="A256" s="58" t="n"/>
      <c r="B256" s="58" t="n"/>
      <c r="C256" s="56" t="n"/>
      <c r="D256" s="59" t="n"/>
      <c r="E256" s="58" t="n"/>
      <c r="F256" s="62" t="n"/>
      <c r="G256" s="59" t="n"/>
      <c r="H256" s="61" t="n"/>
      <c r="I256" s="56" t="n"/>
      <c r="J256" s="59" t="n"/>
      <c r="K256" s="59" t="n"/>
      <c r="L256" s="59" t="n"/>
      <c r="M256" s="28">
        <f>IF(A256&lt;&gt;"",IFERROR(SUMIF(Agenda!E:E,A256,Agenda!N:N),0),"")</f>
        <v/>
      </c>
      <c r="N256" s="54">
        <f>IF(A256&lt;&gt;"",IFERROR(COUNTIF(Agenda!E:E,A256),0),"")</f>
        <v/>
      </c>
      <c r="O256" s="56">
        <f>IF(A256&lt;&gt;"",IFERROR(MAXIFS(Agenda!C:C,Agenda!E:E,A256),""),"")</f>
        <v/>
      </c>
      <c r="P256" s="61" t="n"/>
    </row>
    <row r="257" ht="18" customHeight="1">
      <c r="A257" s="70" t="n"/>
      <c r="B257" s="70" t="n"/>
      <c r="C257" s="68" t="n"/>
      <c r="D257" s="71" t="n"/>
      <c r="E257" s="70" t="n"/>
      <c r="F257" s="74" t="n"/>
      <c r="G257" s="71" t="n"/>
      <c r="H257" s="73" t="n"/>
      <c r="I257" s="68" t="n"/>
      <c r="J257" s="71" t="n"/>
      <c r="K257" s="71" t="n"/>
      <c r="L257" s="71" t="n"/>
      <c r="M257" s="28">
        <f>IF(A257&lt;&gt;"",IFERROR(SUMIF(Agenda!E:E,A257,Agenda!N:N),0),"")</f>
        <v/>
      </c>
      <c r="N257" s="54">
        <f>IF(A257&lt;&gt;"",IFERROR(COUNTIF(Agenda!E:E,A257),0),"")</f>
        <v/>
      </c>
      <c r="O257" s="68">
        <f>IF(A257&lt;&gt;"",IFERROR(MAXIFS(Agenda!C:C,Agenda!E:E,A257),""),"")</f>
        <v/>
      </c>
      <c r="P257" s="73" t="n"/>
    </row>
    <row r="258" ht="18" customHeight="1">
      <c r="A258" s="58" t="n"/>
      <c r="B258" s="58" t="n"/>
      <c r="C258" s="56" t="n"/>
      <c r="D258" s="59" t="n"/>
      <c r="E258" s="58" t="n"/>
      <c r="F258" s="62" t="n"/>
      <c r="G258" s="59" t="n"/>
      <c r="H258" s="61" t="n"/>
      <c r="I258" s="56" t="n"/>
      <c r="J258" s="59" t="n"/>
      <c r="K258" s="59" t="n"/>
      <c r="L258" s="59" t="n"/>
      <c r="M258" s="28">
        <f>IF(A258&lt;&gt;"",IFERROR(SUMIF(Agenda!E:E,A258,Agenda!N:N),0),"")</f>
        <v/>
      </c>
      <c r="N258" s="54">
        <f>IF(A258&lt;&gt;"",IFERROR(COUNTIF(Agenda!E:E,A258),0),"")</f>
        <v/>
      </c>
      <c r="O258" s="56">
        <f>IF(A258&lt;&gt;"",IFERROR(MAXIFS(Agenda!C:C,Agenda!E:E,A258),""),"")</f>
        <v/>
      </c>
      <c r="P258" s="61" t="n"/>
    </row>
    <row r="259" ht="18" customHeight="1">
      <c r="A259" s="70" t="n"/>
      <c r="B259" s="70" t="n"/>
      <c r="C259" s="68" t="n"/>
      <c r="D259" s="71" t="n"/>
      <c r="E259" s="70" t="n"/>
      <c r="F259" s="74" t="n"/>
      <c r="G259" s="71" t="n"/>
      <c r="H259" s="73" t="n"/>
      <c r="I259" s="68" t="n"/>
      <c r="J259" s="71" t="n"/>
      <c r="K259" s="71" t="n"/>
      <c r="L259" s="71" t="n"/>
      <c r="M259" s="28">
        <f>IF(A259&lt;&gt;"",IFERROR(SUMIF(Agenda!E:E,A259,Agenda!N:N),0),"")</f>
        <v/>
      </c>
      <c r="N259" s="54">
        <f>IF(A259&lt;&gt;"",IFERROR(COUNTIF(Agenda!E:E,A259),0),"")</f>
        <v/>
      </c>
      <c r="O259" s="68">
        <f>IF(A259&lt;&gt;"",IFERROR(MAXIFS(Agenda!C:C,Agenda!E:E,A259),""),"")</f>
        <v/>
      </c>
      <c r="P259" s="73" t="n"/>
    </row>
    <row r="260" ht="18" customHeight="1">
      <c r="A260" s="58" t="n"/>
      <c r="B260" s="58" t="n"/>
      <c r="C260" s="56" t="n"/>
      <c r="D260" s="59" t="n"/>
      <c r="E260" s="58" t="n"/>
      <c r="F260" s="62" t="n"/>
      <c r="G260" s="59" t="n"/>
      <c r="H260" s="61" t="n"/>
      <c r="I260" s="56" t="n"/>
      <c r="J260" s="59" t="n"/>
      <c r="K260" s="59" t="n"/>
      <c r="L260" s="59" t="n"/>
      <c r="M260" s="28">
        <f>IF(A260&lt;&gt;"",IFERROR(SUMIF(Agenda!E:E,A260,Agenda!N:N),0),"")</f>
        <v/>
      </c>
      <c r="N260" s="54">
        <f>IF(A260&lt;&gt;"",IFERROR(COUNTIF(Agenda!E:E,A260),0),"")</f>
        <v/>
      </c>
      <c r="O260" s="56">
        <f>IF(A260&lt;&gt;"",IFERROR(MAXIFS(Agenda!C:C,Agenda!E:E,A260),""),"")</f>
        <v/>
      </c>
      <c r="P260" s="61" t="n"/>
    </row>
    <row r="261" ht="18" customHeight="1">
      <c r="A261" s="70" t="n"/>
      <c r="B261" s="70" t="n"/>
      <c r="C261" s="68" t="n"/>
      <c r="D261" s="71" t="n"/>
      <c r="E261" s="70" t="n"/>
      <c r="F261" s="74" t="n"/>
      <c r="G261" s="71" t="n"/>
      <c r="H261" s="73" t="n"/>
      <c r="I261" s="68" t="n"/>
      <c r="J261" s="71" t="n"/>
      <c r="K261" s="71" t="n"/>
      <c r="L261" s="71" t="n"/>
      <c r="M261" s="28">
        <f>IF(A261&lt;&gt;"",IFERROR(SUMIF(Agenda!E:E,A261,Agenda!N:N),0),"")</f>
        <v/>
      </c>
      <c r="N261" s="54">
        <f>IF(A261&lt;&gt;"",IFERROR(COUNTIF(Agenda!E:E,A261),0),"")</f>
        <v/>
      </c>
      <c r="O261" s="68">
        <f>IF(A261&lt;&gt;"",IFERROR(MAXIFS(Agenda!C:C,Agenda!E:E,A261),""),"")</f>
        <v/>
      </c>
      <c r="P261" s="73" t="n"/>
    </row>
    <row r="262" ht="18" customHeight="1">
      <c r="A262" s="58" t="n"/>
      <c r="B262" s="58" t="n"/>
      <c r="C262" s="56" t="n"/>
      <c r="D262" s="59" t="n"/>
      <c r="E262" s="58" t="n"/>
      <c r="F262" s="62" t="n"/>
      <c r="G262" s="59" t="n"/>
      <c r="H262" s="61" t="n"/>
      <c r="I262" s="56" t="n"/>
      <c r="J262" s="59" t="n"/>
      <c r="K262" s="59" t="n"/>
      <c r="L262" s="59" t="n"/>
      <c r="M262" s="28">
        <f>IF(A262&lt;&gt;"",IFERROR(SUMIF(Agenda!E:E,A262,Agenda!N:N),0),"")</f>
        <v/>
      </c>
      <c r="N262" s="54">
        <f>IF(A262&lt;&gt;"",IFERROR(COUNTIF(Agenda!E:E,A262),0),"")</f>
        <v/>
      </c>
      <c r="O262" s="56">
        <f>IF(A262&lt;&gt;"",IFERROR(MAXIFS(Agenda!C:C,Agenda!E:E,A262),""),"")</f>
        <v/>
      </c>
      <c r="P262" s="61" t="n"/>
    </row>
    <row r="263" ht="18" customHeight="1">
      <c r="A263" s="70" t="n"/>
      <c r="B263" s="70" t="n"/>
      <c r="C263" s="68" t="n"/>
      <c r="D263" s="71" t="n"/>
      <c r="E263" s="70" t="n"/>
      <c r="F263" s="74" t="n"/>
      <c r="G263" s="71" t="n"/>
      <c r="H263" s="73" t="n"/>
      <c r="I263" s="68" t="n"/>
      <c r="J263" s="71" t="n"/>
      <c r="K263" s="71" t="n"/>
      <c r="L263" s="71" t="n"/>
      <c r="M263" s="28">
        <f>IF(A263&lt;&gt;"",IFERROR(SUMIF(Agenda!E:E,A263,Agenda!N:N),0),"")</f>
        <v/>
      </c>
      <c r="N263" s="54">
        <f>IF(A263&lt;&gt;"",IFERROR(COUNTIF(Agenda!E:E,A263),0),"")</f>
        <v/>
      </c>
      <c r="O263" s="68">
        <f>IF(A263&lt;&gt;"",IFERROR(MAXIFS(Agenda!C:C,Agenda!E:E,A263),""),"")</f>
        <v/>
      </c>
      <c r="P263" s="73" t="n"/>
    </row>
    <row r="264" ht="18" customHeight="1">
      <c r="A264" s="58" t="n"/>
      <c r="B264" s="58" t="n"/>
      <c r="C264" s="56" t="n"/>
      <c r="D264" s="59" t="n"/>
      <c r="E264" s="58" t="n"/>
      <c r="F264" s="62" t="n"/>
      <c r="G264" s="59" t="n"/>
      <c r="H264" s="61" t="n"/>
      <c r="I264" s="56" t="n"/>
      <c r="J264" s="59" t="n"/>
      <c r="K264" s="59" t="n"/>
      <c r="L264" s="59" t="n"/>
      <c r="M264" s="28">
        <f>IF(A264&lt;&gt;"",IFERROR(SUMIF(Agenda!E:E,A264,Agenda!N:N),0),"")</f>
        <v/>
      </c>
      <c r="N264" s="54">
        <f>IF(A264&lt;&gt;"",IFERROR(COUNTIF(Agenda!E:E,A264),0),"")</f>
        <v/>
      </c>
      <c r="O264" s="56">
        <f>IF(A264&lt;&gt;"",IFERROR(MAXIFS(Agenda!C:C,Agenda!E:E,A264),""),"")</f>
        <v/>
      </c>
      <c r="P264" s="61" t="n"/>
    </row>
    <row r="265" ht="18" customHeight="1">
      <c r="A265" s="70" t="n"/>
      <c r="B265" s="70" t="n"/>
      <c r="C265" s="68" t="n"/>
      <c r="D265" s="71" t="n"/>
      <c r="E265" s="70" t="n"/>
      <c r="F265" s="74" t="n"/>
      <c r="G265" s="71" t="n"/>
      <c r="H265" s="73" t="n"/>
      <c r="I265" s="68" t="n"/>
      <c r="J265" s="71" t="n"/>
      <c r="K265" s="71" t="n"/>
      <c r="L265" s="71" t="n"/>
      <c r="M265" s="28">
        <f>IF(A265&lt;&gt;"",IFERROR(SUMIF(Agenda!E:E,A265,Agenda!N:N),0),"")</f>
        <v/>
      </c>
      <c r="N265" s="54">
        <f>IF(A265&lt;&gt;"",IFERROR(COUNTIF(Agenda!E:E,A265),0),"")</f>
        <v/>
      </c>
      <c r="O265" s="68">
        <f>IF(A265&lt;&gt;"",IFERROR(MAXIFS(Agenda!C:C,Agenda!E:E,A265),""),"")</f>
        <v/>
      </c>
      <c r="P265" s="73" t="n"/>
    </row>
    <row r="266" ht="18" customHeight="1">
      <c r="A266" s="58" t="n"/>
      <c r="B266" s="58" t="n"/>
      <c r="C266" s="56" t="n"/>
      <c r="D266" s="59" t="n"/>
      <c r="E266" s="58" t="n"/>
      <c r="F266" s="62" t="n"/>
      <c r="G266" s="59" t="n"/>
      <c r="H266" s="61" t="n"/>
      <c r="I266" s="56" t="n"/>
      <c r="J266" s="59" t="n"/>
      <c r="K266" s="59" t="n"/>
      <c r="L266" s="59" t="n"/>
      <c r="M266" s="28">
        <f>IF(A266&lt;&gt;"",IFERROR(SUMIF(Agenda!E:E,A266,Agenda!N:N),0),"")</f>
        <v/>
      </c>
      <c r="N266" s="54">
        <f>IF(A266&lt;&gt;"",IFERROR(COUNTIF(Agenda!E:E,A266),0),"")</f>
        <v/>
      </c>
      <c r="O266" s="56">
        <f>IF(A266&lt;&gt;"",IFERROR(MAXIFS(Agenda!C:C,Agenda!E:E,A266),""),"")</f>
        <v/>
      </c>
      <c r="P266" s="61" t="n"/>
    </row>
    <row r="267" ht="18" customHeight="1">
      <c r="A267" s="70" t="n"/>
      <c r="B267" s="70" t="n"/>
      <c r="C267" s="68" t="n"/>
      <c r="D267" s="71" t="n"/>
      <c r="E267" s="70" t="n"/>
      <c r="F267" s="74" t="n"/>
      <c r="G267" s="71" t="n"/>
      <c r="H267" s="73" t="n"/>
      <c r="I267" s="68" t="n"/>
      <c r="J267" s="71" t="n"/>
      <c r="K267" s="71" t="n"/>
      <c r="L267" s="71" t="n"/>
      <c r="M267" s="28">
        <f>IF(A267&lt;&gt;"",IFERROR(SUMIF(Agenda!E:E,A267,Agenda!N:N),0),"")</f>
        <v/>
      </c>
      <c r="N267" s="54">
        <f>IF(A267&lt;&gt;"",IFERROR(COUNTIF(Agenda!E:E,A267),0),"")</f>
        <v/>
      </c>
      <c r="O267" s="68">
        <f>IF(A267&lt;&gt;"",IFERROR(MAXIFS(Agenda!C:C,Agenda!E:E,A267),""),"")</f>
        <v/>
      </c>
      <c r="P267" s="73" t="n"/>
    </row>
    <row r="268" ht="18" customHeight="1">
      <c r="A268" s="58" t="n"/>
      <c r="B268" s="58" t="n"/>
      <c r="C268" s="56" t="n"/>
      <c r="D268" s="59" t="n"/>
      <c r="E268" s="58" t="n"/>
      <c r="F268" s="62" t="n"/>
      <c r="G268" s="59" t="n"/>
      <c r="H268" s="61" t="n"/>
      <c r="I268" s="56" t="n"/>
      <c r="J268" s="59" t="n"/>
      <c r="K268" s="59" t="n"/>
      <c r="L268" s="59" t="n"/>
      <c r="M268" s="28">
        <f>IF(A268&lt;&gt;"",IFERROR(SUMIF(Agenda!E:E,A268,Agenda!N:N),0),"")</f>
        <v/>
      </c>
      <c r="N268" s="54">
        <f>IF(A268&lt;&gt;"",IFERROR(COUNTIF(Agenda!E:E,A268),0),"")</f>
        <v/>
      </c>
      <c r="O268" s="56">
        <f>IF(A268&lt;&gt;"",IFERROR(MAXIFS(Agenda!C:C,Agenda!E:E,A268),""),"")</f>
        <v/>
      </c>
      <c r="P268" s="61" t="n"/>
    </row>
    <row r="269" ht="18" customHeight="1">
      <c r="A269" s="70" t="n"/>
      <c r="B269" s="70" t="n"/>
      <c r="C269" s="68" t="n"/>
      <c r="D269" s="71" t="n"/>
      <c r="E269" s="70" t="n"/>
      <c r="F269" s="74" t="n"/>
      <c r="G269" s="71" t="n"/>
      <c r="H269" s="73" t="n"/>
      <c r="I269" s="68" t="n"/>
      <c r="J269" s="71" t="n"/>
      <c r="K269" s="71" t="n"/>
      <c r="L269" s="71" t="n"/>
      <c r="M269" s="28">
        <f>IF(A269&lt;&gt;"",IFERROR(SUMIF(Agenda!E:E,A269,Agenda!N:N),0),"")</f>
        <v/>
      </c>
      <c r="N269" s="54">
        <f>IF(A269&lt;&gt;"",IFERROR(COUNTIF(Agenda!E:E,A269),0),"")</f>
        <v/>
      </c>
      <c r="O269" s="68">
        <f>IF(A269&lt;&gt;"",IFERROR(MAXIFS(Agenda!C:C,Agenda!E:E,A269),""),"")</f>
        <v/>
      </c>
      <c r="P269" s="73" t="n"/>
    </row>
    <row r="270" ht="18" customHeight="1">
      <c r="A270" s="58" t="n"/>
      <c r="B270" s="58" t="n"/>
      <c r="C270" s="56" t="n"/>
      <c r="D270" s="59" t="n"/>
      <c r="E270" s="58" t="n"/>
      <c r="F270" s="62" t="n"/>
      <c r="G270" s="59" t="n"/>
      <c r="H270" s="61" t="n"/>
      <c r="I270" s="56" t="n"/>
      <c r="J270" s="59" t="n"/>
      <c r="K270" s="59" t="n"/>
      <c r="L270" s="59" t="n"/>
      <c r="M270" s="28">
        <f>IF(A270&lt;&gt;"",IFERROR(SUMIF(Agenda!E:E,A270,Agenda!N:N),0),"")</f>
        <v/>
      </c>
      <c r="N270" s="54">
        <f>IF(A270&lt;&gt;"",IFERROR(COUNTIF(Agenda!E:E,A270),0),"")</f>
        <v/>
      </c>
      <c r="O270" s="56">
        <f>IF(A270&lt;&gt;"",IFERROR(MAXIFS(Agenda!C:C,Agenda!E:E,A270),""),"")</f>
        <v/>
      </c>
      <c r="P270" s="61" t="n"/>
    </row>
    <row r="271" ht="18" customHeight="1">
      <c r="A271" s="70" t="n"/>
      <c r="B271" s="70" t="n"/>
      <c r="C271" s="68" t="n"/>
      <c r="D271" s="71" t="n"/>
      <c r="E271" s="70" t="n"/>
      <c r="F271" s="74" t="n"/>
      <c r="G271" s="71" t="n"/>
      <c r="H271" s="73" t="n"/>
      <c r="I271" s="68" t="n"/>
      <c r="J271" s="71" t="n"/>
      <c r="K271" s="71" t="n"/>
      <c r="L271" s="71" t="n"/>
      <c r="M271" s="28">
        <f>IF(A271&lt;&gt;"",IFERROR(SUMIF(Agenda!E:E,A271,Agenda!N:N),0),"")</f>
        <v/>
      </c>
      <c r="N271" s="54">
        <f>IF(A271&lt;&gt;"",IFERROR(COUNTIF(Agenda!E:E,A271),0),"")</f>
        <v/>
      </c>
      <c r="O271" s="68">
        <f>IF(A271&lt;&gt;"",IFERROR(MAXIFS(Agenda!C:C,Agenda!E:E,A271),""),"")</f>
        <v/>
      </c>
      <c r="P271" s="73" t="n"/>
    </row>
    <row r="272" ht="18" customHeight="1">
      <c r="A272" s="58" t="n"/>
      <c r="B272" s="58" t="n"/>
      <c r="C272" s="56" t="n"/>
      <c r="D272" s="59" t="n"/>
      <c r="E272" s="58" t="n"/>
      <c r="F272" s="62" t="n"/>
      <c r="G272" s="59" t="n"/>
      <c r="H272" s="61" t="n"/>
      <c r="I272" s="56" t="n"/>
      <c r="J272" s="59" t="n"/>
      <c r="K272" s="59" t="n"/>
      <c r="L272" s="59" t="n"/>
      <c r="M272" s="28">
        <f>IF(A272&lt;&gt;"",IFERROR(SUMIF(Agenda!E:E,A272,Agenda!N:N),0),"")</f>
        <v/>
      </c>
      <c r="N272" s="54">
        <f>IF(A272&lt;&gt;"",IFERROR(COUNTIF(Agenda!E:E,A272),0),"")</f>
        <v/>
      </c>
      <c r="O272" s="56">
        <f>IF(A272&lt;&gt;"",IFERROR(MAXIFS(Agenda!C:C,Agenda!E:E,A272),""),"")</f>
        <v/>
      </c>
      <c r="P272" s="61" t="n"/>
    </row>
    <row r="273" ht="18" customHeight="1">
      <c r="A273" s="70" t="n"/>
      <c r="B273" s="70" t="n"/>
      <c r="C273" s="68" t="n"/>
      <c r="D273" s="71" t="n"/>
      <c r="E273" s="70" t="n"/>
      <c r="F273" s="74" t="n"/>
      <c r="G273" s="71" t="n"/>
      <c r="H273" s="73" t="n"/>
      <c r="I273" s="68" t="n"/>
      <c r="J273" s="71" t="n"/>
      <c r="K273" s="71" t="n"/>
      <c r="L273" s="71" t="n"/>
      <c r="M273" s="28">
        <f>IF(A273&lt;&gt;"",IFERROR(SUMIF(Agenda!E:E,A273,Agenda!N:N),0),"")</f>
        <v/>
      </c>
      <c r="N273" s="54">
        <f>IF(A273&lt;&gt;"",IFERROR(COUNTIF(Agenda!E:E,A273),0),"")</f>
        <v/>
      </c>
      <c r="O273" s="68">
        <f>IF(A273&lt;&gt;"",IFERROR(MAXIFS(Agenda!C:C,Agenda!E:E,A273),""),"")</f>
        <v/>
      </c>
      <c r="P273" s="73" t="n"/>
    </row>
    <row r="274" ht="18" customHeight="1">
      <c r="A274" s="58" t="n"/>
      <c r="B274" s="58" t="n"/>
      <c r="C274" s="56" t="n"/>
      <c r="D274" s="59" t="n"/>
      <c r="E274" s="58" t="n"/>
      <c r="F274" s="62" t="n"/>
      <c r="G274" s="59" t="n"/>
      <c r="H274" s="61" t="n"/>
      <c r="I274" s="56" t="n"/>
      <c r="J274" s="59" t="n"/>
      <c r="K274" s="59" t="n"/>
      <c r="L274" s="59" t="n"/>
      <c r="M274" s="28">
        <f>IF(A274&lt;&gt;"",IFERROR(SUMIF(Agenda!E:E,A274,Agenda!N:N),0),"")</f>
        <v/>
      </c>
      <c r="N274" s="54">
        <f>IF(A274&lt;&gt;"",IFERROR(COUNTIF(Agenda!E:E,A274),0),"")</f>
        <v/>
      </c>
      <c r="O274" s="56">
        <f>IF(A274&lt;&gt;"",IFERROR(MAXIFS(Agenda!C:C,Agenda!E:E,A274),""),"")</f>
        <v/>
      </c>
      <c r="P274" s="61" t="n"/>
    </row>
    <row r="275" ht="18" customHeight="1">
      <c r="A275" s="70" t="n"/>
      <c r="B275" s="70" t="n"/>
      <c r="C275" s="68" t="n"/>
      <c r="D275" s="71" t="n"/>
      <c r="E275" s="70" t="n"/>
      <c r="F275" s="74" t="n"/>
      <c r="G275" s="71" t="n"/>
      <c r="H275" s="73" t="n"/>
      <c r="I275" s="68" t="n"/>
      <c r="J275" s="71" t="n"/>
      <c r="K275" s="71" t="n"/>
      <c r="L275" s="71" t="n"/>
      <c r="M275" s="28">
        <f>IF(A275&lt;&gt;"",IFERROR(SUMIF(Agenda!E:E,A275,Agenda!N:N),0),"")</f>
        <v/>
      </c>
      <c r="N275" s="54">
        <f>IF(A275&lt;&gt;"",IFERROR(COUNTIF(Agenda!E:E,A275),0),"")</f>
        <v/>
      </c>
      <c r="O275" s="68">
        <f>IF(A275&lt;&gt;"",IFERROR(MAXIFS(Agenda!C:C,Agenda!E:E,A275),""),"")</f>
        <v/>
      </c>
      <c r="P275" s="73" t="n"/>
    </row>
    <row r="276" ht="18" customHeight="1">
      <c r="A276" s="58" t="n"/>
      <c r="B276" s="58" t="n"/>
      <c r="C276" s="56" t="n"/>
      <c r="D276" s="59" t="n"/>
      <c r="E276" s="58" t="n"/>
      <c r="F276" s="62" t="n"/>
      <c r="G276" s="59" t="n"/>
      <c r="H276" s="61" t="n"/>
      <c r="I276" s="56" t="n"/>
      <c r="J276" s="59" t="n"/>
      <c r="K276" s="59" t="n"/>
      <c r="L276" s="59" t="n"/>
      <c r="M276" s="28">
        <f>IF(A276&lt;&gt;"",IFERROR(SUMIF(Agenda!E:E,A276,Agenda!N:N),0),"")</f>
        <v/>
      </c>
      <c r="N276" s="54">
        <f>IF(A276&lt;&gt;"",IFERROR(COUNTIF(Agenda!E:E,A276),0),"")</f>
        <v/>
      </c>
      <c r="O276" s="56">
        <f>IF(A276&lt;&gt;"",IFERROR(MAXIFS(Agenda!C:C,Agenda!E:E,A276),""),"")</f>
        <v/>
      </c>
      <c r="P276" s="61" t="n"/>
    </row>
    <row r="277" ht="18" customHeight="1">
      <c r="A277" s="70" t="n"/>
      <c r="B277" s="70" t="n"/>
      <c r="C277" s="68" t="n"/>
      <c r="D277" s="71" t="n"/>
      <c r="E277" s="70" t="n"/>
      <c r="F277" s="74" t="n"/>
      <c r="G277" s="71" t="n"/>
      <c r="H277" s="73" t="n"/>
      <c r="I277" s="68" t="n"/>
      <c r="J277" s="71" t="n"/>
      <c r="K277" s="71" t="n"/>
      <c r="L277" s="71" t="n"/>
      <c r="M277" s="28">
        <f>IF(A277&lt;&gt;"",IFERROR(SUMIF(Agenda!E:E,A277,Agenda!N:N),0),"")</f>
        <v/>
      </c>
      <c r="N277" s="54">
        <f>IF(A277&lt;&gt;"",IFERROR(COUNTIF(Agenda!E:E,A277),0),"")</f>
        <v/>
      </c>
      <c r="O277" s="68">
        <f>IF(A277&lt;&gt;"",IFERROR(MAXIFS(Agenda!C:C,Agenda!E:E,A277),""),"")</f>
        <v/>
      </c>
      <c r="P277" s="73" t="n"/>
    </row>
    <row r="278" ht="18" customHeight="1">
      <c r="A278" s="58" t="n"/>
      <c r="B278" s="58" t="n"/>
      <c r="C278" s="56" t="n"/>
      <c r="D278" s="59" t="n"/>
      <c r="E278" s="58" t="n"/>
      <c r="F278" s="62" t="n"/>
      <c r="G278" s="59" t="n"/>
      <c r="H278" s="61" t="n"/>
      <c r="I278" s="56" t="n"/>
      <c r="J278" s="59" t="n"/>
      <c r="K278" s="59" t="n"/>
      <c r="L278" s="59" t="n"/>
      <c r="M278" s="28">
        <f>IF(A278&lt;&gt;"",IFERROR(SUMIF(Agenda!E:E,A278,Agenda!N:N),0),"")</f>
        <v/>
      </c>
      <c r="N278" s="54">
        <f>IF(A278&lt;&gt;"",IFERROR(COUNTIF(Agenda!E:E,A278),0),"")</f>
        <v/>
      </c>
      <c r="O278" s="56">
        <f>IF(A278&lt;&gt;"",IFERROR(MAXIFS(Agenda!C:C,Agenda!E:E,A278),""),"")</f>
        <v/>
      </c>
      <c r="P278" s="61" t="n"/>
    </row>
    <row r="279" ht="18" customHeight="1">
      <c r="A279" s="70" t="n"/>
      <c r="B279" s="70" t="n"/>
      <c r="C279" s="68" t="n"/>
      <c r="D279" s="71" t="n"/>
      <c r="E279" s="70" t="n"/>
      <c r="F279" s="74" t="n"/>
      <c r="G279" s="71" t="n"/>
      <c r="H279" s="73" t="n"/>
      <c r="I279" s="68" t="n"/>
      <c r="J279" s="71" t="n"/>
      <c r="K279" s="71" t="n"/>
      <c r="L279" s="71" t="n"/>
      <c r="M279" s="28">
        <f>IF(A279&lt;&gt;"",IFERROR(SUMIF(Agenda!E:E,A279,Agenda!N:N),0),"")</f>
        <v/>
      </c>
      <c r="N279" s="54">
        <f>IF(A279&lt;&gt;"",IFERROR(COUNTIF(Agenda!E:E,A279),0),"")</f>
        <v/>
      </c>
      <c r="O279" s="68">
        <f>IF(A279&lt;&gt;"",IFERROR(MAXIFS(Agenda!C:C,Agenda!E:E,A279),""),"")</f>
        <v/>
      </c>
      <c r="P279" s="73" t="n"/>
    </row>
    <row r="280" ht="18" customHeight="1">
      <c r="A280" s="58" t="n"/>
      <c r="B280" s="58" t="n"/>
      <c r="C280" s="56" t="n"/>
      <c r="D280" s="59" t="n"/>
      <c r="E280" s="58" t="n"/>
      <c r="F280" s="62" t="n"/>
      <c r="G280" s="59" t="n"/>
      <c r="H280" s="61" t="n"/>
      <c r="I280" s="56" t="n"/>
      <c r="J280" s="59" t="n"/>
      <c r="K280" s="59" t="n"/>
      <c r="L280" s="59" t="n"/>
      <c r="M280" s="28">
        <f>IF(A280&lt;&gt;"",IFERROR(SUMIF(Agenda!E:E,A280,Agenda!N:N),0),"")</f>
        <v/>
      </c>
      <c r="N280" s="54">
        <f>IF(A280&lt;&gt;"",IFERROR(COUNTIF(Agenda!E:E,A280),0),"")</f>
        <v/>
      </c>
      <c r="O280" s="56">
        <f>IF(A280&lt;&gt;"",IFERROR(MAXIFS(Agenda!C:C,Agenda!E:E,A280),""),"")</f>
        <v/>
      </c>
      <c r="P280" s="61" t="n"/>
    </row>
    <row r="281" ht="18" customHeight="1">
      <c r="A281" s="70" t="n"/>
      <c r="B281" s="70" t="n"/>
      <c r="C281" s="68" t="n"/>
      <c r="D281" s="71" t="n"/>
      <c r="E281" s="70" t="n"/>
      <c r="F281" s="74" t="n"/>
      <c r="G281" s="71" t="n"/>
      <c r="H281" s="73" t="n"/>
      <c r="I281" s="68" t="n"/>
      <c r="J281" s="71" t="n"/>
      <c r="K281" s="71" t="n"/>
      <c r="L281" s="71" t="n"/>
      <c r="M281" s="28">
        <f>IF(A281&lt;&gt;"",IFERROR(SUMIF(Agenda!E:E,A281,Agenda!N:N),0),"")</f>
        <v/>
      </c>
      <c r="N281" s="54">
        <f>IF(A281&lt;&gt;"",IFERROR(COUNTIF(Agenda!E:E,A281),0),"")</f>
        <v/>
      </c>
      <c r="O281" s="68">
        <f>IF(A281&lt;&gt;"",IFERROR(MAXIFS(Agenda!C:C,Agenda!E:E,A281),""),"")</f>
        <v/>
      </c>
      <c r="P281" s="73" t="n"/>
    </row>
    <row r="282" ht="18" customHeight="1">
      <c r="A282" s="58" t="n"/>
      <c r="B282" s="58" t="n"/>
      <c r="C282" s="56" t="n"/>
      <c r="D282" s="59" t="n"/>
      <c r="E282" s="58" t="n"/>
      <c r="F282" s="62" t="n"/>
      <c r="G282" s="59" t="n"/>
      <c r="H282" s="61" t="n"/>
      <c r="I282" s="56" t="n"/>
      <c r="J282" s="59" t="n"/>
      <c r="K282" s="59" t="n"/>
      <c r="L282" s="59" t="n"/>
      <c r="M282" s="28">
        <f>IF(A282&lt;&gt;"",IFERROR(SUMIF(Agenda!E:E,A282,Agenda!N:N),0),"")</f>
        <v/>
      </c>
      <c r="N282" s="54">
        <f>IF(A282&lt;&gt;"",IFERROR(COUNTIF(Agenda!E:E,A282),0),"")</f>
        <v/>
      </c>
      <c r="O282" s="56">
        <f>IF(A282&lt;&gt;"",IFERROR(MAXIFS(Agenda!C:C,Agenda!E:E,A282),""),"")</f>
        <v/>
      </c>
      <c r="P282" s="61" t="n"/>
    </row>
    <row r="283" ht="18" customHeight="1">
      <c r="A283" s="70" t="n"/>
      <c r="B283" s="70" t="n"/>
      <c r="C283" s="68" t="n"/>
      <c r="D283" s="71" t="n"/>
      <c r="E283" s="70" t="n"/>
      <c r="F283" s="74" t="n"/>
      <c r="G283" s="71" t="n"/>
      <c r="H283" s="73" t="n"/>
      <c r="I283" s="68" t="n"/>
      <c r="J283" s="71" t="n"/>
      <c r="K283" s="71" t="n"/>
      <c r="L283" s="71" t="n"/>
      <c r="M283" s="28">
        <f>IF(A283&lt;&gt;"",IFERROR(SUMIF(Agenda!E:E,A283,Agenda!N:N),0),"")</f>
        <v/>
      </c>
      <c r="N283" s="54">
        <f>IF(A283&lt;&gt;"",IFERROR(COUNTIF(Agenda!E:E,A283),0),"")</f>
        <v/>
      </c>
      <c r="O283" s="68">
        <f>IF(A283&lt;&gt;"",IFERROR(MAXIFS(Agenda!C:C,Agenda!E:E,A283),""),"")</f>
        <v/>
      </c>
      <c r="P283" s="73" t="n"/>
    </row>
    <row r="284" ht="18" customHeight="1">
      <c r="A284" s="58" t="n"/>
      <c r="B284" s="58" t="n"/>
      <c r="C284" s="56" t="n"/>
      <c r="D284" s="59" t="n"/>
      <c r="E284" s="58" t="n"/>
      <c r="F284" s="62" t="n"/>
      <c r="G284" s="59" t="n"/>
      <c r="H284" s="61" t="n"/>
      <c r="I284" s="56" t="n"/>
      <c r="J284" s="59" t="n"/>
      <c r="K284" s="59" t="n"/>
      <c r="L284" s="59" t="n"/>
      <c r="M284" s="28">
        <f>IF(A284&lt;&gt;"",IFERROR(SUMIF(Agenda!E:E,A284,Agenda!N:N),0),"")</f>
        <v/>
      </c>
      <c r="N284" s="54">
        <f>IF(A284&lt;&gt;"",IFERROR(COUNTIF(Agenda!E:E,A284),0),"")</f>
        <v/>
      </c>
      <c r="O284" s="56">
        <f>IF(A284&lt;&gt;"",IFERROR(MAXIFS(Agenda!C:C,Agenda!E:E,A284),""),"")</f>
        <v/>
      </c>
      <c r="P284" s="61" t="n"/>
    </row>
    <row r="285" ht="18" customHeight="1">
      <c r="A285" s="70" t="n"/>
      <c r="B285" s="70" t="n"/>
      <c r="C285" s="68" t="n"/>
      <c r="D285" s="71" t="n"/>
      <c r="E285" s="70" t="n"/>
      <c r="F285" s="74" t="n"/>
      <c r="G285" s="71" t="n"/>
      <c r="H285" s="73" t="n"/>
      <c r="I285" s="68" t="n"/>
      <c r="J285" s="71" t="n"/>
      <c r="K285" s="71" t="n"/>
      <c r="L285" s="71" t="n"/>
      <c r="M285" s="28">
        <f>IF(A285&lt;&gt;"",IFERROR(SUMIF(Agenda!E:E,A285,Agenda!N:N),0),"")</f>
        <v/>
      </c>
      <c r="N285" s="54">
        <f>IF(A285&lt;&gt;"",IFERROR(COUNTIF(Agenda!E:E,A285),0),"")</f>
        <v/>
      </c>
      <c r="O285" s="68">
        <f>IF(A285&lt;&gt;"",IFERROR(MAXIFS(Agenda!C:C,Agenda!E:E,A285),""),"")</f>
        <v/>
      </c>
      <c r="P285" s="73" t="n"/>
    </row>
    <row r="286" ht="18" customHeight="1">
      <c r="A286" s="58" t="n"/>
      <c r="B286" s="58" t="n"/>
      <c r="C286" s="56" t="n"/>
      <c r="D286" s="59" t="n"/>
      <c r="E286" s="58" t="n"/>
      <c r="F286" s="62" t="n"/>
      <c r="G286" s="59" t="n"/>
      <c r="H286" s="61" t="n"/>
      <c r="I286" s="56" t="n"/>
      <c r="J286" s="59" t="n"/>
      <c r="K286" s="59" t="n"/>
      <c r="L286" s="59" t="n"/>
      <c r="M286" s="28">
        <f>IF(A286&lt;&gt;"",IFERROR(SUMIF(Agenda!E:E,A286,Agenda!N:N),0),"")</f>
        <v/>
      </c>
      <c r="N286" s="54">
        <f>IF(A286&lt;&gt;"",IFERROR(COUNTIF(Agenda!E:E,A286),0),"")</f>
        <v/>
      </c>
      <c r="O286" s="56">
        <f>IF(A286&lt;&gt;"",IFERROR(MAXIFS(Agenda!C:C,Agenda!E:E,A286),""),"")</f>
        <v/>
      </c>
      <c r="P286" s="61" t="n"/>
    </row>
    <row r="287" ht="18" customHeight="1">
      <c r="A287" s="70" t="n"/>
      <c r="B287" s="70" t="n"/>
      <c r="C287" s="68" t="n"/>
      <c r="D287" s="71" t="n"/>
      <c r="E287" s="70" t="n"/>
      <c r="F287" s="74" t="n"/>
      <c r="G287" s="71" t="n"/>
      <c r="H287" s="73" t="n"/>
      <c r="I287" s="68" t="n"/>
      <c r="J287" s="71" t="n"/>
      <c r="K287" s="71" t="n"/>
      <c r="L287" s="71" t="n"/>
      <c r="M287" s="28">
        <f>IF(A287&lt;&gt;"",IFERROR(SUMIF(Agenda!E:E,A287,Agenda!N:N),0),"")</f>
        <v/>
      </c>
      <c r="N287" s="54">
        <f>IF(A287&lt;&gt;"",IFERROR(COUNTIF(Agenda!E:E,A287),0),"")</f>
        <v/>
      </c>
      <c r="O287" s="68">
        <f>IF(A287&lt;&gt;"",IFERROR(MAXIFS(Agenda!C:C,Agenda!E:E,A287),""),"")</f>
        <v/>
      </c>
      <c r="P287" s="73" t="n"/>
    </row>
    <row r="288" ht="18" customHeight="1">
      <c r="A288" s="58" t="n"/>
      <c r="B288" s="58" t="n"/>
      <c r="C288" s="56" t="n"/>
      <c r="D288" s="59" t="n"/>
      <c r="E288" s="58" t="n"/>
      <c r="F288" s="62" t="n"/>
      <c r="G288" s="59" t="n"/>
      <c r="H288" s="61" t="n"/>
      <c r="I288" s="56" t="n"/>
      <c r="J288" s="59" t="n"/>
      <c r="K288" s="59" t="n"/>
      <c r="L288" s="59" t="n"/>
      <c r="M288" s="28">
        <f>IF(A288&lt;&gt;"",IFERROR(SUMIF(Agenda!E:E,A288,Agenda!N:N),0),"")</f>
        <v/>
      </c>
      <c r="N288" s="54">
        <f>IF(A288&lt;&gt;"",IFERROR(COUNTIF(Agenda!E:E,A288),0),"")</f>
        <v/>
      </c>
      <c r="O288" s="56">
        <f>IF(A288&lt;&gt;"",IFERROR(MAXIFS(Agenda!C:C,Agenda!E:E,A288),""),"")</f>
        <v/>
      </c>
      <c r="P288" s="61" t="n"/>
    </row>
    <row r="289" ht="18" customHeight="1">
      <c r="A289" s="70" t="n"/>
      <c r="B289" s="70" t="n"/>
      <c r="C289" s="68" t="n"/>
      <c r="D289" s="71" t="n"/>
      <c r="E289" s="70" t="n"/>
      <c r="F289" s="74" t="n"/>
      <c r="G289" s="71" t="n"/>
      <c r="H289" s="73" t="n"/>
      <c r="I289" s="68" t="n"/>
      <c r="J289" s="71" t="n"/>
      <c r="K289" s="71" t="n"/>
      <c r="L289" s="71" t="n"/>
      <c r="M289" s="28">
        <f>IF(A289&lt;&gt;"",IFERROR(SUMIF(Agenda!E:E,A289,Agenda!N:N),0),"")</f>
        <v/>
      </c>
      <c r="N289" s="54">
        <f>IF(A289&lt;&gt;"",IFERROR(COUNTIF(Agenda!E:E,A289),0),"")</f>
        <v/>
      </c>
      <c r="O289" s="68">
        <f>IF(A289&lt;&gt;"",IFERROR(MAXIFS(Agenda!C:C,Agenda!E:E,A289),""),"")</f>
        <v/>
      </c>
      <c r="P289" s="73" t="n"/>
    </row>
    <row r="290" ht="18" customHeight="1">
      <c r="A290" s="58" t="n"/>
      <c r="B290" s="58" t="n"/>
      <c r="C290" s="56" t="n"/>
      <c r="D290" s="59" t="n"/>
      <c r="E290" s="58" t="n"/>
      <c r="F290" s="62" t="n"/>
      <c r="G290" s="59" t="n"/>
      <c r="H290" s="61" t="n"/>
      <c r="I290" s="56" t="n"/>
      <c r="J290" s="59" t="n"/>
      <c r="K290" s="59" t="n"/>
      <c r="L290" s="59" t="n"/>
      <c r="M290" s="28">
        <f>IF(A290&lt;&gt;"",IFERROR(SUMIF(Agenda!E:E,A290,Agenda!N:N),0),"")</f>
        <v/>
      </c>
      <c r="N290" s="54">
        <f>IF(A290&lt;&gt;"",IFERROR(COUNTIF(Agenda!E:E,A290),0),"")</f>
        <v/>
      </c>
      <c r="O290" s="56">
        <f>IF(A290&lt;&gt;"",IFERROR(MAXIFS(Agenda!C:C,Agenda!E:E,A290),""),"")</f>
        <v/>
      </c>
      <c r="P290" s="61" t="n"/>
    </row>
    <row r="291" ht="18" customHeight="1">
      <c r="A291" s="70" t="n"/>
      <c r="B291" s="70" t="n"/>
      <c r="C291" s="68" t="n"/>
      <c r="D291" s="71" t="n"/>
      <c r="E291" s="70" t="n"/>
      <c r="F291" s="74" t="n"/>
      <c r="G291" s="71" t="n"/>
      <c r="H291" s="73" t="n"/>
      <c r="I291" s="68" t="n"/>
      <c r="J291" s="71" t="n"/>
      <c r="K291" s="71" t="n"/>
      <c r="L291" s="71" t="n"/>
      <c r="M291" s="28">
        <f>IF(A291&lt;&gt;"",IFERROR(SUMIF(Agenda!E:E,A291,Agenda!N:N),0),"")</f>
        <v/>
      </c>
      <c r="N291" s="54">
        <f>IF(A291&lt;&gt;"",IFERROR(COUNTIF(Agenda!E:E,A291),0),"")</f>
        <v/>
      </c>
      <c r="O291" s="68">
        <f>IF(A291&lt;&gt;"",IFERROR(MAXIFS(Agenda!C:C,Agenda!E:E,A291),""),"")</f>
        <v/>
      </c>
      <c r="P291" s="73" t="n"/>
    </row>
    <row r="292" ht="18" customHeight="1">
      <c r="A292" s="58" t="n"/>
      <c r="B292" s="58" t="n"/>
      <c r="C292" s="56" t="n"/>
      <c r="D292" s="59" t="n"/>
      <c r="E292" s="58" t="n"/>
      <c r="F292" s="62" t="n"/>
      <c r="G292" s="59" t="n"/>
      <c r="H292" s="61" t="n"/>
      <c r="I292" s="56" t="n"/>
      <c r="J292" s="59" t="n"/>
      <c r="K292" s="59" t="n"/>
      <c r="L292" s="59" t="n"/>
      <c r="M292" s="28">
        <f>IF(A292&lt;&gt;"",IFERROR(SUMIF(Agenda!E:E,A292,Agenda!N:N),0),"")</f>
        <v/>
      </c>
      <c r="N292" s="54">
        <f>IF(A292&lt;&gt;"",IFERROR(COUNTIF(Agenda!E:E,A292),0),"")</f>
        <v/>
      </c>
      <c r="O292" s="56">
        <f>IF(A292&lt;&gt;"",IFERROR(MAXIFS(Agenda!C:C,Agenda!E:E,A292),""),"")</f>
        <v/>
      </c>
      <c r="P292" s="61" t="n"/>
    </row>
    <row r="293" ht="18" customHeight="1">
      <c r="A293" s="70" t="n"/>
      <c r="B293" s="70" t="n"/>
      <c r="C293" s="68" t="n"/>
      <c r="D293" s="71" t="n"/>
      <c r="E293" s="70" t="n"/>
      <c r="F293" s="74" t="n"/>
      <c r="G293" s="71" t="n"/>
      <c r="H293" s="73" t="n"/>
      <c r="I293" s="68" t="n"/>
      <c r="J293" s="71" t="n"/>
      <c r="K293" s="71" t="n"/>
      <c r="L293" s="71" t="n"/>
      <c r="M293" s="28">
        <f>IF(A293&lt;&gt;"",IFERROR(SUMIF(Agenda!E:E,A293,Agenda!N:N),0),"")</f>
        <v/>
      </c>
      <c r="N293" s="54">
        <f>IF(A293&lt;&gt;"",IFERROR(COUNTIF(Agenda!E:E,A293),0),"")</f>
        <v/>
      </c>
      <c r="O293" s="68">
        <f>IF(A293&lt;&gt;"",IFERROR(MAXIFS(Agenda!C:C,Agenda!E:E,A293),""),"")</f>
        <v/>
      </c>
      <c r="P293" s="73" t="n"/>
    </row>
    <row r="294" ht="18" customHeight="1">
      <c r="A294" s="58" t="n"/>
      <c r="B294" s="58" t="n"/>
      <c r="C294" s="56" t="n"/>
      <c r="D294" s="59" t="n"/>
      <c r="E294" s="58" t="n"/>
      <c r="F294" s="62" t="n"/>
      <c r="G294" s="59" t="n"/>
      <c r="H294" s="61" t="n"/>
      <c r="I294" s="56" t="n"/>
      <c r="J294" s="59" t="n"/>
      <c r="K294" s="59" t="n"/>
      <c r="L294" s="59" t="n"/>
      <c r="M294" s="28">
        <f>IF(A294&lt;&gt;"",IFERROR(SUMIF(Agenda!E:E,A294,Agenda!N:N),0),"")</f>
        <v/>
      </c>
      <c r="N294" s="54">
        <f>IF(A294&lt;&gt;"",IFERROR(COUNTIF(Agenda!E:E,A294),0),"")</f>
        <v/>
      </c>
      <c r="O294" s="56">
        <f>IF(A294&lt;&gt;"",IFERROR(MAXIFS(Agenda!C:C,Agenda!E:E,A294),""),"")</f>
        <v/>
      </c>
      <c r="P294" s="61" t="n"/>
    </row>
    <row r="295" ht="18" customHeight="1">
      <c r="A295" s="70" t="n"/>
      <c r="B295" s="70" t="n"/>
      <c r="C295" s="68" t="n"/>
      <c r="D295" s="71" t="n"/>
      <c r="E295" s="70" t="n"/>
      <c r="F295" s="74" t="n"/>
      <c r="G295" s="71" t="n"/>
      <c r="H295" s="73" t="n"/>
      <c r="I295" s="68" t="n"/>
      <c r="J295" s="71" t="n"/>
      <c r="K295" s="71" t="n"/>
      <c r="L295" s="71" t="n"/>
      <c r="M295" s="28">
        <f>IF(A295&lt;&gt;"",IFERROR(SUMIF(Agenda!E:E,A295,Agenda!N:N),0),"")</f>
        <v/>
      </c>
      <c r="N295" s="54">
        <f>IF(A295&lt;&gt;"",IFERROR(COUNTIF(Agenda!E:E,A295),0),"")</f>
        <v/>
      </c>
      <c r="O295" s="68">
        <f>IF(A295&lt;&gt;"",IFERROR(MAXIFS(Agenda!C:C,Agenda!E:E,A295),""),"")</f>
        <v/>
      </c>
      <c r="P295" s="73" t="n"/>
    </row>
    <row r="296" ht="18" customHeight="1">
      <c r="A296" s="58" t="n"/>
      <c r="B296" s="58" t="n"/>
      <c r="C296" s="56" t="n"/>
      <c r="D296" s="59" t="n"/>
      <c r="E296" s="58" t="n"/>
      <c r="F296" s="62" t="n"/>
      <c r="G296" s="59" t="n"/>
      <c r="H296" s="61" t="n"/>
      <c r="I296" s="56" t="n"/>
      <c r="J296" s="59" t="n"/>
      <c r="K296" s="59" t="n"/>
      <c r="L296" s="59" t="n"/>
      <c r="M296" s="28">
        <f>IF(A296&lt;&gt;"",IFERROR(SUMIF(Agenda!E:E,A296,Agenda!N:N),0),"")</f>
        <v/>
      </c>
      <c r="N296" s="54">
        <f>IF(A296&lt;&gt;"",IFERROR(COUNTIF(Agenda!E:E,A296),0),"")</f>
        <v/>
      </c>
      <c r="O296" s="56">
        <f>IF(A296&lt;&gt;"",IFERROR(MAXIFS(Agenda!C:C,Agenda!E:E,A296),""),"")</f>
        <v/>
      </c>
      <c r="P296" s="61" t="n"/>
    </row>
    <row r="297" ht="18" customHeight="1">
      <c r="A297" s="70" t="n"/>
      <c r="B297" s="70" t="n"/>
      <c r="C297" s="68" t="n"/>
      <c r="D297" s="71" t="n"/>
      <c r="E297" s="70" t="n"/>
      <c r="F297" s="74" t="n"/>
      <c r="G297" s="71" t="n"/>
      <c r="H297" s="73" t="n"/>
      <c r="I297" s="68" t="n"/>
      <c r="J297" s="71" t="n"/>
      <c r="K297" s="71" t="n"/>
      <c r="L297" s="71" t="n"/>
      <c r="M297" s="28">
        <f>IF(A297&lt;&gt;"",IFERROR(SUMIF(Agenda!E:E,A297,Agenda!N:N),0),"")</f>
        <v/>
      </c>
      <c r="N297" s="54">
        <f>IF(A297&lt;&gt;"",IFERROR(COUNTIF(Agenda!E:E,A297),0),"")</f>
        <v/>
      </c>
      <c r="O297" s="68">
        <f>IF(A297&lt;&gt;"",IFERROR(MAXIFS(Agenda!C:C,Agenda!E:E,A297),""),"")</f>
        <v/>
      </c>
      <c r="P297" s="73" t="n"/>
    </row>
    <row r="298" ht="18" customHeight="1">
      <c r="A298" s="58" t="n"/>
      <c r="B298" s="58" t="n"/>
      <c r="C298" s="56" t="n"/>
      <c r="D298" s="59" t="n"/>
      <c r="E298" s="58" t="n"/>
      <c r="F298" s="62" t="n"/>
      <c r="G298" s="59" t="n"/>
      <c r="H298" s="61" t="n"/>
      <c r="I298" s="56" t="n"/>
      <c r="J298" s="59" t="n"/>
      <c r="K298" s="59" t="n"/>
      <c r="L298" s="59" t="n"/>
      <c r="M298" s="28">
        <f>IF(A298&lt;&gt;"",IFERROR(SUMIF(Agenda!E:E,A298,Agenda!N:N),0),"")</f>
        <v/>
      </c>
      <c r="N298" s="54">
        <f>IF(A298&lt;&gt;"",IFERROR(COUNTIF(Agenda!E:E,A298),0),"")</f>
        <v/>
      </c>
      <c r="O298" s="56">
        <f>IF(A298&lt;&gt;"",IFERROR(MAXIFS(Agenda!C:C,Agenda!E:E,A298),""),"")</f>
        <v/>
      </c>
      <c r="P298" s="61" t="n"/>
    </row>
    <row r="299" ht="18" customHeight="1">
      <c r="A299" s="70" t="n"/>
      <c r="B299" s="70" t="n"/>
      <c r="C299" s="68" t="n"/>
      <c r="D299" s="71" t="n"/>
      <c r="E299" s="70" t="n"/>
      <c r="F299" s="74" t="n"/>
      <c r="G299" s="71" t="n"/>
      <c r="H299" s="73" t="n"/>
      <c r="I299" s="68" t="n"/>
      <c r="J299" s="71" t="n"/>
      <c r="K299" s="71" t="n"/>
      <c r="L299" s="71" t="n"/>
      <c r="M299" s="28">
        <f>IF(A299&lt;&gt;"",IFERROR(SUMIF(Agenda!E:E,A299,Agenda!N:N),0),"")</f>
        <v/>
      </c>
      <c r="N299" s="54">
        <f>IF(A299&lt;&gt;"",IFERROR(COUNTIF(Agenda!E:E,A299),0),"")</f>
        <v/>
      </c>
      <c r="O299" s="68">
        <f>IF(A299&lt;&gt;"",IFERROR(MAXIFS(Agenda!C:C,Agenda!E:E,A299),""),"")</f>
        <v/>
      </c>
      <c r="P299" s="73" t="n"/>
    </row>
    <row r="300" ht="18" customHeight="1">
      <c r="A300" s="58" t="n"/>
      <c r="B300" s="58" t="n"/>
      <c r="C300" s="56" t="n"/>
      <c r="D300" s="59" t="n"/>
      <c r="E300" s="58" t="n"/>
      <c r="F300" s="62" t="n"/>
      <c r="G300" s="59" t="n"/>
      <c r="H300" s="61" t="n"/>
      <c r="I300" s="56" t="n"/>
      <c r="J300" s="59" t="n"/>
      <c r="K300" s="59" t="n"/>
      <c r="L300" s="59" t="n"/>
      <c r="M300" s="28">
        <f>IF(A300&lt;&gt;"",IFERROR(SUMIF(Agenda!E:E,A300,Agenda!N:N),0),"")</f>
        <v/>
      </c>
      <c r="N300" s="54">
        <f>IF(A300&lt;&gt;"",IFERROR(COUNTIF(Agenda!E:E,A300),0),"")</f>
        <v/>
      </c>
      <c r="O300" s="56">
        <f>IF(A300&lt;&gt;"",IFERROR(MAXIFS(Agenda!C:C,Agenda!E:E,A300),""),"")</f>
        <v/>
      </c>
      <c r="P300" s="61" t="n"/>
    </row>
    <row r="301" ht="18" customHeight="1">
      <c r="A301" s="70" t="n"/>
      <c r="B301" s="70" t="n"/>
      <c r="C301" s="68" t="n"/>
      <c r="D301" s="71" t="n"/>
      <c r="E301" s="70" t="n"/>
      <c r="F301" s="74" t="n"/>
      <c r="G301" s="71" t="n"/>
      <c r="H301" s="73" t="n"/>
      <c r="I301" s="68" t="n"/>
      <c r="J301" s="71" t="n"/>
      <c r="K301" s="71" t="n"/>
      <c r="L301" s="71" t="n"/>
      <c r="M301" s="28">
        <f>IF(A301&lt;&gt;"",IFERROR(SUMIF(Agenda!E:E,A301,Agenda!N:N),0),"")</f>
        <v/>
      </c>
      <c r="N301" s="54">
        <f>IF(A301&lt;&gt;"",IFERROR(COUNTIF(Agenda!E:E,A301),0),"")</f>
        <v/>
      </c>
      <c r="O301" s="68">
        <f>IF(A301&lt;&gt;"",IFERROR(MAXIFS(Agenda!C:C,Agenda!E:E,A301),""),"")</f>
        <v/>
      </c>
      <c r="P301" s="73" t="n"/>
    </row>
    <row r="302" ht="18" customHeight="1">
      <c r="A302" s="58" t="n"/>
      <c r="B302" s="58" t="n"/>
      <c r="C302" s="56" t="n"/>
      <c r="D302" s="59" t="n"/>
      <c r="E302" s="58" t="n"/>
      <c r="F302" s="62" t="n"/>
      <c r="G302" s="59" t="n"/>
      <c r="H302" s="61" t="n"/>
      <c r="I302" s="56" t="n"/>
      <c r="J302" s="59" t="n"/>
      <c r="K302" s="59" t="n"/>
      <c r="L302" s="59" t="n"/>
      <c r="M302" s="28">
        <f>IF(A302&lt;&gt;"",IFERROR(SUMIF(Agenda!E:E,A302,Agenda!N:N),0),"")</f>
        <v/>
      </c>
      <c r="N302" s="54">
        <f>IF(A302&lt;&gt;"",IFERROR(COUNTIF(Agenda!E:E,A302),0),"")</f>
        <v/>
      </c>
      <c r="O302" s="56">
        <f>IF(A302&lt;&gt;"",IFERROR(MAXIFS(Agenda!C:C,Agenda!E:E,A302),""),"")</f>
        <v/>
      </c>
      <c r="P302" s="61" t="n"/>
    </row>
    <row r="303" ht="18" customHeight="1">
      <c r="A303" s="70" t="n"/>
      <c r="B303" s="70" t="n"/>
      <c r="C303" s="68" t="n"/>
      <c r="D303" s="71" t="n"/>
      <c r="E303" s="70" t="n"/>
      <c r="F303" s="74" t="n"/>
      <c r="G303" s="71" t="n"/>
      <c r="H303" s="73" t="n"/>
      <c r="I303" s="68" t="n"/>
      <c r="J303" s="71" t="n"/>
      <c r="K303" s="71" t="n"/>
      <c r="L303" s="71" t="n"/>
      <c r="M303" s="28">
        <f>IF(A303&lt;&gt;"",IFERROR(SUMIF(Agenda!E:E,A303,Agenda!N:N),0),"")</f>
        <v/>
      </c>
      <c r="N303" s="54">
        <f>IF(A303&lt;&gt;"",IFERROR(COUNTIF(Agenda!E:E,A303),0),"")</f>
        <v/>
      </c>
      <c r="O303" s="68">
        <f>IF(A303&lt;&gt;"",IFERROR(MAXIFS(Agenda!C:C,Agenda!E:E,A303),""),"")</f>
        <v/>
      </c>
      <c r="P303" s="73" t="n"/>
    </row>
  </sheetData>
  <mergeCells count="2">
    <mergeCell ref="A1:P1"/>
    <mergeCell ref="A2:P2"/>
  </mergeCells>
  <conditionalFormatting sqref="G4:G303">
    <cfRule type="cellIs" priority="1" operator="equal" dxfId="0">
      <formula>"Sí"</formula>
    </cfRule>
    <cfRule type="cellIs" priority="2" operator="equal" dxfId="1">
      <formula>"No"</formula>
    </cfRule>
  </conditionalFormatting>
  <dataValidations count="5">
    <dataValidation sqref="D4:D303" showDropDown="0" showInputMessage="0" showErrorMessage="0" allowBlank="1" type="list">
      <formula1>"Saleads,Facebook,WhatsApp,Recomendación,Google,Otro"</formula1>
    </dataValidation>
    <dataValidation sqref="G4:G303" showDropDown="0" showInputMessage="0" showErrorMessage="0" allowBlank="1" type="list">
      <formula1>"Sí,No"</formula1>
    </dataValidation>
    <dataValidation sqref="J4:J303" showDropDown="0" showInputMessage="0" showErrorMessage="0" allowBlank="1" type="list">
      <formula1>"Sí,No"</formula1>
    </dataValidation>
    <dataValidation sqref="K4:K303" showDropDown="0" showInputMessage="0" showErrorMessage="0" allowBlank="1" type="list">
      <formula1>"Sí,No"</formula1>
    </dataValidation>
    <dataValidation sqref="L4:L30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2" customWidth="1" min="4" max="4"/>
    <col width="12" customWidth="1" min="5" max="5"/>
    <col width="13" customWidth="1" min="6" max="6"/>
    <col width="22" customWidth="1" min="7" max="7"/>
    <col width="12" customWidth="1" min="8" max="8"/>
    <col width="35" customWidth="1" min="9" max="9"/>
    <col width="26" customWidth="1" min="11" max="11"/>
    <col width="16" customWidth="1" min="12" max="12"/>
  </cols>
  <sheetData>
    <row r="1" ht="35" customHeight="1">
      <c r="A1" s="136" t="inlineStr">
        <is>
          <t>MUDANZAS METEPEC — HISTORIAL DE MANTENIMIENTO</t>
        </is>
      </c>
    </row>
    <row r="2" ht="22" customHeight="1">
      <c r="A2" s="137" t="inlineStr">
        <is>
          <t>Registro completo por unidad · Conectado con Flujo de Efectivo</t>
        </is>
      </c>
    </row>
    <row r="3" ht="30" customHeight="1">
      <c r="A3" s="101" t="inlineStr">
        <is>
          <t>FOLIO MTO</t>
        </is>
      </c>
      <c r="B3" s="101" t="inlineStr">
        <is>
          <t>FECHA</t>
        </is>
      </c>
      <c r="C3" s="101" t="inlineStr">
        <is>
          <t>UNIDAD</t>
        </is>
      </c>
      <c r="D3" s="101" t="inlineStr">
        <is>
          <t>TIPO</t>
        </is>
      </c>
      <c r="E3" s="101" t="inlineStr">
        <is>
          <t>KM EN MTO</t>
        </is>
      </c>
      <c r="F3" s="101" t="inlineStr">
        <is>
          <t>COSTO $</t>
        </is>
      </c>
      <c r="G3" s="101" t="inlineStr">
        <is>
          <t>PROVEEDOR</t>
        </is>
      </c>
      <c r="H3" s="101" t="inlineStr">
        <is>
          <t>FOLIO GASTO</t>
        </is>
      </c>
      <c r="I3" s="101" t="inlineStr">
        <is>
          <t>OBSERVACIONES</t>
        </is>
      </c>
      <c r="K3" s="156" t="inlineStr">
        <is>
          <t>RESUMEN COSTOS MTO</t>
        </is>
      </c>
    </row>
    <row r="4" ht="22" customHeight="1">
      <c r="A4" s="157">
        <f>IF(B4&lt;&gt;"","MTO-"&amp;TEXT(ROW()-3,"000"),"")</f>
        <v/>
      </c>
      <c r="B4" s="56" t="n"/>
      <c r="C4" s="59" t="n"/>
      <c r="D4" s="59" t="n"/>
      <c r="E4" s="158" t="n"/>
      <c r="F4" s="50" t="n"/>
      <c r="G4" s="58" t="n"/>
      <c r="H4" s="59" t="n"/>
      <c r="I4" s="61" t="n"/>
      <c r="K4" s="159" t="inlineStr">
        <is>
          <t>TOTAL FLOTA</t>
        </is>
      </c>
      <c r="L4" s="142">
        <f>SUM(F4:F303)</f>
        <v/>
      </c>
    </row>
    <row r="5" ht="22" customHeight="1">
      <c r="A5" s="157">
        <f>IF(B5&lt;&gt;"","MTO-"&amp;TEXT(ROW()-3,"000"),"")</f>
        <v/>
      </c>
      <c r="B5" s="68" t="n"/>
      <c r="C5" s="71" t="n"/>
      <c r="D5" s="71" t="n"/>
      <c r="E5" s="160" t="n"/>
      <c r="F5" s="50" t="n"/>
      <c r="G5" s="70" t="n"/>
      <c r="H5" s="71" t="n"/>
      <c r="I5" s="73" t="n"/>
      <c r="K5" s="132" t="inlineStr">
        <is>
          <t>Pick Up</t>
        </is>
      </c>
      <c r="L5" s="50">
        <f>SUMIF(C4:C303,"Pick Up",F4:F303)</f>
        <v/>
      </c>
    </row>
    <row r="6" ht="22" customHeight="1">
      <c r="A6" s="157">
        <f>IF(B6&lt;&gt;"","MTO-"&amp;TEXT(ROW()-3,"000"),"")</f>
        <v/>
      </c>
      <c r="B6" s="56" t="n"/>
      <c r="C6" s="59" t="n"/>
      <c r="D6" s="59" t="n"/>
      <c r="E6" s="158" t="n"/>
      <c r="F6" s="50" t="n"/>
      <c r="G6" s="58" t="n"/>
      <c r="H6" s="59" t="n"/>
      <c r="I6" s="61" t="n"/>
      <c r="K6" s="132" t="inlineStr">
        <is>
          <t>1.5 Cerrada</t>
        </is>
      </c>
      <c r="L6" s="50">
        <f>SUMIF(C4:C303,"1.5 Cerrada",F4:F303)</f>
        <v/>
      </c>
    </row>
    <row r="7" ht="22" customHeight="1">
      <c r="A7" s="157">
        <f>IF(B7&lt;&gt;"","MTO-"&amp;TEXT(ROW()-3,"000"),"")</f>
        <v/>
      </c>
      <c r="B7" s="68" t="n"/>
      <c r="C7" s="71" t="n"/>
      <c r="D7" s="71" t="n"/>
      <c r="E7" s="160" t="n"/>
      <c r="F7" s="50" t="n"/>
      <c r="G7" s="70" t="n"/>
      <c r="H7" s="71" t="n"/>
      <c r="I7" s="73" t="n"/>
      <c r="K7" s="132" t="inlineStr">
        <is>
          <t>2.5</t>
        </is>
      </c>
      <c r="L7" s="50">
        <f>SUMIF(C4:C303,"2.5",F4:F303)</f>
        <v/>
      </c>
    </row>
    <row r="8" ht="22" customHeight="1">
      <c r="A8" s="157">
        <f>IF(B8&lt;&gt;"","MTO-"&amp;TEXT(ROW()-3,"000"),"")</f>
        <v/>
      </c>
      <c r="B8" s="56" t="n"/>
      <c r="C8" s="59" t="n"/>
      <c r="D8" s="59" t="n"/>
      <c r="E8" s="158" t="n"/>
      <c r="F8" s="50" t="n"/>
      <c r="G8" s="58" t="n"/>
      <c r="H8" s="59" t="n"/>
      <c r="I8" s="61" t="n"/>
      <c r="K8" s="132" t="inlineStr">
        <is>
          <t>3.5</t>
        </is>
      </c>
      <c r="L8" s="50">
        <f>SUMIF(C4:C303,"3.5",F4:F303)</f>
        <v/>
      </c>
    </row>
    <row r="9" ht="22" customHeight="1">
      <c r="A9" s="157">
        <f>IF(B9&lt;&gt;"","MTO-"&amp;TEXT(ROW()-3,"000"),"")</f>
        <v/>
      </c>
      <c r="B9" s="68" t="n"/>
      <c r="C9" s="71" t="n"/>
      <c r="D9" s="71" t="n"/>
      <c r="E9" s="160" t="n"/>
      <c r="F9" s="50" t="n"/>
      <c r="G9" s="70" t="n"/>
      <c r="H9" s="71" t="n"/>
      <c r="I9" s="73" t="n"/>
      <c r="K9" s="134" t="inlineStr"/>
    </row>
    <row r="10" ht="22" customHeight="1">
      <c r="A10" s="157">
        <f>IF(B10&lt;&gt;"","MTO-"&amp;TEXT(ROW()-3,"000"),"")</f>
        <v/>
      </c>
      <c r="B10" s="56" t="n"/>
      <c r="C10" s="59" t="n"/>
      <c r="D10" s="59" t="n"/>
      <c r="E10" s="158" t="n"/>
      <c r="F10" s="50" t="n"/>
      <c r="G10" s="58" t="n"/>
      <c r="H10" s="59" t="n"/>
      <c r="I10" s="61" t="n"/>
      <c r="K10" s="139" t="inlineStr">
        <is>
          <t>Cambio aceite</t>
        </is>
      </c>
      <c r="L10" s="115">
        <f>SUMIF(D4:D303,"Cambio aceite",F4:F303)</f>
        <v/>
      </c>
    </row>
    <row r="11" ht="22" customHeight="1">
      <c r="A11" s="157">
        <f>IF(B11&lt;&gt;"","MTO-"&amp;TEXT(ROW()-3,"000"),"")</f>
        <v/>
      </c>
      <c r="B11" s="68" t="n"/>
      <c r="C11" s="71" t="n"/>
      <c r="D11" s="71" t="n"/>
      <c r="E11" s="160" t="n"/>
      <c r="F11" s="50" t="n"/>
      <c r="G11" s="70" t="n"/>
      <c r="H11" s="71" t="n"/>
      <c r="I11" s="73" t="n"/>
      <c r="K11" s="139" t="inlineStr">
        <is>
          <t>Cambio llantas</t>
        </is>
      </c>
      <c r="L11" s="115">
        <f>SUMIF(D4:D303,"Cambio llantas",F4:F303)</f>
        <v/>
      </c>
    </row>
    <row r="12" ht="22" customHeight="1">
      <c r="A12" s="157">
        <f>IF(B12&lt;&gt;"","MTO-"&amp;TEXT(ROW()-3,"000"),"")</f>
        <v/>
      </c>
      <c r="B12" s="56" t="n"/>
      <c r="C12" s="59" t="n"/>
      <c r="D12" s="59" t="n"/>
      <c r="E12" s="158" t="n"/>
      <c r="F12" s="50" t="n"/>
      <c r="G12" s="58" t="n"/>
      <c r="H12" s="59" t="n"/>
      <c r="I12" s="61" t="n"/>
      <c r="K12" s="139" t="inlineStr">
        <is>
          <t>Frenos</t>
        </is>
      </c>
      <c r="L12" s="115">
        <f>SUMIF(D4:D303,"Frenos",F4:F303)</f>
        <v/>
      </c>
    </row>
    <row r="13" ht="22" customHeight="1">
      <c r="A13" s="157">
        <f>IF(B13&lt;&gt;"","MTO-"&amp;TEXT(ROW()-3,"000"),"")</f>
        <v/>
      </c>
      <c r="B13" s="68" t="n"/>
      <c r="C13" s="71" t="n"/>
      <c r="D13" s="71" t="n"/>
      <c r="E13" s="160" t="n"/>
      <c r="F13" s="50" t="n"/>
      <c r="G13" s="70" t="n"/>
      <c r="H13" s="71" t="n"/>
      <c r="I13" s="73" t="n"/>
      <c r="K13" s="139" t="inlineStr">
        <is>
          <t>Afinación</t>
        </is>
      </c>
      <c r="L13" s="115">
        <f>SUMIF(D4:D303,"Afinación",F4:F303)</f>
        <v/>
      </c>
    </row>
    <row r="14" ht="22" customHeight="1">
      <c r="A14" s="157">
        <f>IF(B14&lt;&gt;"","MTO-"&amp;TEXT(ROW()-3,"000"),"")</f>
        <v/>
      </c>
      <c r="B14" s="56" t="n"/>
      <c r="C14" s="59" t="n"/>
      <c r="D14" s="59" t="n"/>
      <c r="E14" s="158" t="n"/>
      <c r="F14" s="50" t="n"/>
      <c r="G14" s="58" t="n"/>
      <c r="H14" s="59" t="n"/>
      <c r="I14" s="61" t="n"/>
      <c r="K14" s="139" t="inlineStr">
        <is>
          <t>Motor</t>
        </is>
      </c>
      <c r="L14" s="115">
        <f>SUMIF(D4:D303,"Motor",F4:F303)</f>
        <v/>
      </c>
    </row>
    <row r="15" ht="22" customHeight="1">
      <c r="A15" s="157">
        <f>IF(B15&lt;&gt;"","MTO-"&amp;TEXT(ROW()-3,"000"),"")</f>
        <v/>
      </c>
      <c r="B15" s="68" t="n"/>
      <c r="C15" s="71" t="n"/>
      <c r="D15" s="71" t="n"/>
      <c r="E15" s="160" t="n"/>
      <c r="F15" s="50" t="n"/>
      <c r="G15" s="70" t="n"/>
      <c r="H15" s="71" t="n"/>
      <c r="I15" s="73" t="n"/>
      <c r="K15" s="139" t="inlineStr">
        <is>
          <t>Preventivo</t>
        </is>
      </c>
      <c r="L15" s="115">
        <f>SUMIF(D4:D303,"Preventivo",F4:F303)</f>
        <v/>
      </c>
    </row>
    <row r="16" ht="22" customHeight="1">
      <c r="A16" s="157">
        <f>IF(B16&lt;&gt;"","MTO-"&amp;TEXT(ROW()-3,"000"),"")</f>
        <v/>
      </c>
      <c r="B16" s="56" t="n"/>
      <c r="C16" s="59" t="n"/>
      <c r="D16" s="59" t="n"/>
      <c r="E16" s="158" t="n"/>
      <c r="F16" s="50" t="n"/>
      <c r="G16" s="58" t="n"/>
      <c r="H16" s="59" t="n"/>
      <c r="I16" s="61" t="n"/>
      <c r="K16" s="134" t="inlineStr"/>
    </row>
    <row r="17" ht="22" customHeight="1">
      <c r="A17" s="157">
        <f>IF(B17&lt;&gt;"","MTO-"&amp;TEXT(ROW()-3,"000"),"")</f>
        <v/>
      </c>
      <c r="B17" s="68" t="n"/>
      <c r="C17" s="71" t="n"/>
      <c r="D17" s="71" t="n"/>
      <c r="E17" s="160" t="n"/>
      <c r="F17" s="50" t="n"/>
      <c r="G17" s="70" t="n"/>
      <c r="H17" s="71" t="n"/>
      <c r="I17" s="73" t="n"/>
      <c r="K17" s="126" t="inlineStr">
        <is>
          <t>Nº registros</t>
        </is>
      </c>
      <c r="L17" s="152">
        <f>COUNTA(B4:B303)</f>
        <v/>
      </c>
    </row>
    <row r="18" ht="22" customHeight="1">
      <c r="A18" s="157">
        <f>IF(B18&lt;&gt;"","MTO-"&amp;TEXT(ROW()-3,"000"),"")</f>
        <v/>
      </c>
      <c r="B18" s="56" t="n"/>
      <c r="C18" s="59" t="n"/>
      <c r="D18" s="59" t="n"/>
      <c r="E18" s="158" t="n"/>
      <c r="F18" s="50" t="n"/>
      <c r="G18" s="58" t="n"/>
      <c r="H18" s="59" t="n"/>
      <c r="I18" s="61" t="n"/>
      <c r="K18" s="147" t="inlineStr">
        <is>
          <t>Últ. registro</t>
        </is>
      </c>
      <c r="L18" s="161">
        <f>IFERROR(MAX(B4:B303),"—")</f>
        <v/>
      </c>
    </row>
    <row r="19" ht="22" customHeight="1">
      <c r="A19" s="157">
        <f>IF(B19&lt;&gt;"","MTO-"&amp;TEXT(ROW()-3,"000"),"")</f>
        <v/>
      </c>
      <c r="B19" s="68" t="n"/>
      <c r="C19" s="71" t="n"/>
      <c r="D19" s="71" t="n"/>
      <c r="E19" s="160" t="n"/>
      <c r="F19" s="50" t="n"/>
      <c r="G19" s="70" t="n"/>
      <c r="H19" s="71" t="n"/>
      <c r="I19" s="73" t="n"/>
      <c r="K19" s="147" t="inlineStr">
        <is>
          <t>Prom. x evento $</t>
        </is>
      </c>
      <c r="L19" s="114">
        <f>IFERROR(SUM(F4:F303)/COUNTA(B4:B303),0)</f>
        <v/>
      </c>
    </row>
    <row r="20" ht="18" customHeight="1">
      <c r="A20" s="157">
        <f>IF(B20&lt;&gt;"","MTO-"&amp;TEXT(ROW()-3,"000"),"")</f>
        <v/>
      </c>
      <c r="B20" s="56" t="n"/>
      <c r="C20" s="59" t="n"/>
      <c r="D20" s="59" t="n"/>
      <c r="E20" s="158" t="n"/>
      <c r="F20" s="50" t="n"/>
      <c r="G20" s="58" t="n"/>
      <c r="H20" s="59" t="n"/>
      <c r="I20" s="61" t="n"/>
    </row>
    <row r="21" ht="18" customHeight="1">
      <c r="A21" s="157">
        <f>IF(B21&lt;&gt;"","MTO-"&amp;TEXT(ROW()-3,"000"),"")</f>
        <v/>
      </c>
      <c r="B21" s="68" t="n"/>
      <c r="C21" s="71" t="n"/>
      <c r="D21" s="71" t="n"/>
      <c r="E21" s="160" t="n"/>
      <c r="F21" s="50" t="n"/>
      <c r="G21" s="70" t="n"/>
      <c r="H21" s="71" t="n"/>
      <c r="I21" s="73" t="n"/>
    </row>
    <row r="22" ht="18" customHeight="1">
      <c r="A22" s="157">
        <f>IF(B22&lt;&gt;"","MTO-"&amp;TEXT(ROW()-3,"000"),"")</f>
        <v/>
      </c>
      <c r="B22" s="56" t="n"/>
      <c r="C22" s="59" t="n"/>
      <c r="D22" s="59" t="n"/>
      <c r="E22" s="158" t="n"/>
      <c r="F22" s="50" t="n"/>
      <c r="G22" s="58" t="n"/>
      <c r="H22" s="59" t="n"/>
      <c r="I22" s="61" t="n"/>
    </row>
    <row r="23" ht="18" customHeight="1">
      <c r="A23" s="157">
        <f>IF(B23&lt;&gt;"","MTO-"&amp;TEXT(ROW()-3,"000"),"")</f>
        <v/>
      </c>
      <c r="B23" s="68" t="n"/>
      <c r="C23" s="71" t="n"/>
      <c r="D23" s="71" t="n"/>
      <c r="E23" s="160" t="n"/>
      <c r="F23" s="50" t="n"/>
      <c r="G23" s="70" t="n"/>
      <c r="H23" s="71" t="n"/>
      <c r="I23" s="73" t="n"/>
    </row>
    <row r="24" ht="18" customHeight="1">
      <c r="A24" s="157">
        <f>IF(B24&lt;&gt;"","MTO-"&amp;TEXT(ROW()-3,"000"),"")</f>
        <v/>
      </c>
      <c r="B24" s="56" t="n"/>
      <c r="C24" s="59" t="n"/>
      <c r="D24" s="59" t="n"/>
      <c r="E24" s="158" t="n"/>
      <c r="F24" s="50" t="n"/>
      <c r="G24" s="58" t="n"/>
      <c r="H24" s="59" t="n"/>
      <c r="I24" s="61" t="n"/>
    </row>
    <row r="25" ht="18" customHeight="1">
      <c r="A25" s="157">
        <f>IF(B25&lt;&gt;"","MTO-"&amp;TEXT(ROW()-3,"000"),"")</f>
        <v/>
      </c>
      <c r="B25" s="68" t="n"/>
      <c r="C25" s="71" t="n"/>
      <c r="D25" s="71" t="n"/>
      <c r="E25" s="160" t="n"/>
      <c r="F25" s="50" t="n"/>
      <c r="G25" s="70" t="n"/>
      <c r="H25" s="71" t="n"/>
      <c r="I25" s="73" t="n"/>
    </row>
    <row r="26" ht="18" customHeight="1">
      <c r="A26" s="157">
        <f>IF(B26&lt;&gt;"","MTO-"&amp;TEXT(ROW()-3,"000"),"")</f>
        <v/>
      </c>
      <c r="B26" s="56" t="n"/>
      <c r="C26" s="59" t="n"/>
      <c r="D26" s="59" t="n"/>
      <c r="E26" s="158" t="n"/>
      <c r="F26" s="50" t="n"/>
      <c r="G26" s="58" t="n"/>
      <c r="H26" s="59" t="n"/>
      <c r="I26" s="61" t="n"/>
    </row>
    <row r="27" ht="18" customHeight="1">
      <c r="A27" s="157">
        <f>IF(B27&lt;&gt;"","MTO-"&amp;TEXT(ROW()-3,"000"),"")</f>
        <v/>
      </c>
      <c r="B27" s="68" t="n"/>
      <c r="C27" s="71" t="n"/>
      <c r="D27" s="71" t="n"/>
      <c r="E27" s="160" t="n"/>
      <c r="F27" s="50" t="n"/>
      <c r="G27" s="70" t="n"/>
      <c r="H27" s="71" t="n"/>
      <c r="I27" s="73" t="n"/>
    </row>
    <row r="28" ht="18" customHeight="1">
      <c r="A28" s="157">
        <f>IF(B28&lt;&gt;"","MTO-"&amp;TEXT(ROW()-3,"000"),"")</f>
        <v/>
      </c>
      <c r="B28" s="56" t="n"/>
      <c r="C28" s="59" t="n"/>
      <c r="D28" s="59" t="n"/>
      <c r="E28" s="158" t="n"/>
      <c r="F28" s="50" t="n"/>
      <c r="G28" s="58" t="n"/>
      <c r="H28" s="59" t="n"/>
      <c r="I28" s="61" t="n"/>
    </row>
    <row r="29" ht="18" customHeight="1">
      <c r="A29" s="157">
        <f>IF(B29&lt;&gt;"","MTO-"&amp;TEXT(ROW()-3,"000"),"")</f>
        <v/>
      </c>
      <c r="B29" s="68" t="n"/>
      <c r="C29" s="71" t="n"/>
      <c r="D29" s="71" t="n"/>
      <c r="E29" s="160" t="n"/>
      <c r="F29" s="50" t="n"/>
      <c r="G29" s="70" t="n"/>
      <c r="H29" s="71" t="n"/>
      <c r="I29" s="73" t="n"/>
    </row>
    <row r="30" ht="18" customHeight="1">
      <c r="A30" s="157">
        <f>IF(B30&lt;&gt;"","MTO-"&amp;TEXT(ROW()-3,"000"),"")</f>
        <v/>
      </c>
      <c r="B30" s="56" t="n"/>
      <c r="C30" s="59" t="n"/>
      <c r="D30" s="59" t="n"/>
      <c r="E30" s="158" t="n"/>
      <c r="F30" s="50" t="n"/>
      <c r="G30" s="58" t="n"/>
      <c r="H30" s="59" t="n"/>
      <c r="I30" s="61" t="n"/>
    </row>
    <row r="31" ht="18" customHeight="1">
      <c r="A31" s="157">
        <f>IF(B31&lt;&gt;"","MTO-"&amp;TEXT(ROW()-3,"000"),"")</f>
        <v/>
      </c>
      <c r="B31" s="68" t="n"/>
      <c r="C31" s="71" t="n"/>
      <c r="D31" s="71" t="n"/>
      <c r="E31" s="160" t="n"/>
      <c r="F31" s="50" t="n"/>
      <c r="G31" s="70" t="n"/>
      <c r="H31" s="71" t="n"/>
      <c r="I31" s="73" t="n"/>
    </row>
    <row r="32" ht="18" customHeight="1">
      <c r="A32" s="157">
        <f>IF(B32&lt;&gt;"","MTO-"&amp;TEXT(ROW()-3,"000"),"")</f>
        <v/>
      </c>
      <c r="B32" s="56" t="n"/>
      <c r="C32" s="59" t="n"/>
      <c r="D32" s="59" t="n"/>
      <c r="E32" s="158" t="n"/>
      <c r="F32" s="50" t="n"/>
      <c r="G32" s="58" t="n"/>
      <c r="H32" s="59" t="n"/>
      <c r="I32" s="61" t="n"/>
    </row>
    <row r="33" ht="18" customHeight="1">
      <c r="A33" s="157">
        <f>IF(B33&lt;&gt;"","MTO-"&amp;TEXT(ROW()-3,"000"),"")</f>
        <v/>
      </c>
      <c r="B33" s="68" t="n"/>
      <c r="C33" s="71" t="n"/>
      <c r="D33" s="71" t="n"/>
      <c r="E33" s="160" t="n"/>
      <c r="F33" s="50" t="n"/>
      <c r="G33" s="70" t="n"/>
      <c r="H33" s="71" t="n"/>
      <c r="I33" s="73" t="n"/>
    </row>
    <row r="34" ht="18" customHeight="1">
      <c r="A34" s="157">
        <f>IF(B34&lt;&gt;"","MTO-"&amp;TEXT(ROW()-3,"000"),"")</f>
        <v/>
      </c>
      <c r="B34" s="56" t="n"/>
      <c r="C34" s="59" t="n"/>
      <c r="D34" s="59" t="n"/>
      <c r="E34" s="158" t="n"/>
      <c r="F34" s="50" t="n"/>
      <c r="G34" s="58" t="n"/>
      <c r="H34" s="59" t="n"/>
      <c r="I34" s="61" t="n"/>
    </row>
    <row r="35" ht="18" customHeight="1">
      <c r="A35" s="157">
        <f>IF(B35&lt;&gt;"","MTO-"&amp;TEXT(ROW()-3,"000"),"")</f>
        <v/>
      </c>
      <c r="B35" s="68" t="n"/>
      <c r="C35" s="71" t="n"/>
      <c r="D35" s="71" t="n"/>
      <c r="E35" s="160" t="n"/>
      <c r="F35" s="50" t="n"/>
      <c r="G35" s="70" t="n"/>
      <c r="H35" s="71" t="n"/>
      <c r="I35" s="73" t="n"/>
    </row>
    <row r="36" ht="18" customHeight="1">
      <c r="A36" s="157">
        <f>IF(B36&lt;&gt;"","MTO-"&amp;TEXT(ROW()-3,"000"),"")</f>
        <v/>
      </c>
      <c r="B36" s="56" t="n"/>
      <c r="C36" s="59" t="n"/>
      <c r="D36" s="59" t="n"/>
      <c r="E36" s="158" t="n"/>
      <c r="F36" s="50" t="n"/>
      <c r="G36" s="58" t="n"/>
      <c r="H36" s="59" t="n"/>
      <c r="I36" s="61" t="n"/>
    </row>
    <row r="37" ht="18" customHeight="1">
      <c r="A37" s="157">
        <f>IF(B37&lt;&gt;"","MTO-"&amp;TEXT(ROW()-3,"000"),"")</f>
        <v/>
      </c>
      <c r="B37" s="68" t="n"/>
      <c r="C37" s="71" t="n"/>
      <c r="D37" s="71" t="n"/>
      <c r="E37" s="160" t="n"/>
      <c r="F37" s="50" t="n"/>
      <c r="G37" s="70" t="n"/>
      <c r="H37" s="71" t="n"/>
      <c r="I37" s="73" t="n"/>
    </row>
    <row r="38" ht="18" customHeight="1">
      <c r="A38" s="157">
        <f>IF(B38&lt;&gt;"","MTO-"&amp;TEXT(ROW()-3,"000"),"")</f>
        <v/>
      </c>
      <c r="B38" s="56" t="n"/>
      <c r="C38" s="59" t="n"/>
      <c r="D38" s="59" t="n"/>
      <c r="E38" s="158" t="n"/>
      <c r="F38" s="50" t="n"/>
      <c r="G38" s="58" t="n"/>
      <c r="H38" s="59" t="n"/>
      <c r="I38" s="61" t="n"/>
    </row>
    <row r="39" ht="18" customHeight="1">
      <c r="A39" s="157">
        <f>IF(B39&lt;&gt;"","MTO-"&amp;TEXT(ROW()-3,"000"),"")</f>
        <v/>
      </c>
      <c r="B39" s="68" t="n"/>
      <c r="C39" s="71" t="n"/>
      <c r="D39" s="71" t="n"/>
      <c r="E39" s="160" t="n"/>
      <c r="F39" s="50" t="n"/>
      <c r="G39" s="70" t="n"/>
      <c r="H39" s="71" t="n"/>
      <c r="I39" s="73" t="n"/>
    </row>
    <row r="40" ht="18" customHeight="1">
      <c r="A40" s="157">
        <f>IF(B40&lt;&gt;"","MTO-"&amp;TEXT(ROW()-3,"000"),"")</f>
        <v/>
      </c>
      <c r="B40" s="56" t="n"/>
      <c r="C40" s="59" t="n"/>
      <c r="D40" s="59" t="n"/>
      <c r="E40" s="158" t="n"/>
      <c r="F40" s="50" t="n"/>
      <c r="G40" s="58" t="n"/>
      <c r="H40" s="59" t="n"/>
      <c r="I40" s="61" t="n"/>
    </row>
    <row r="41" ht="18" customHeight="1">
      <c r="A41" s="157">
        <f>IF(B41&lt;&gt;"","MTO-"&amp;TEXT(ROW()-3,"000"),"")</f>
        <v/>
      </c>
      <c r="B41" s="68" t="n"/>
      <c r="C41" s="71" t="n"/>
      <c r="D41" s="71" t="n"/>
      <c r="E41" s="160" t="n"/>
      <c r="F41" s="50" t="n"/>
      <c r="G41" s="70" t="n"/>
      <c r="H41" s="71" t="n"/>
      <c r="I41" s="73" t="n"/>
    </row>
    <row r="42" ht="18" customHeight="1">
      <c r="A42" s="157">
        <f>IF(B42&lt;&gt;"","MTO-"&amp;TEXT(ROW()-3,"000"),"")</f>
        <v/>
      </c>
      <c r="B42" s="56" t="n"/>
      <c r="C42" s="59" t="n"/>
      <c r="D42" s="59" t="n"/>
      <c r="E42" s="158" t="n"/>
      <c r="F42" s="50" t="n"/>
      <c r="G42" s="58" t="n"/>
      <c r="H42" s="59" t="n"/>
      <c r="I42" s="61" t="n"/>
    </row>
    <row r="43" ht="18" customHeight="1">
      <c r="A43" s="157">
        <f>IF(B43&lt;&gt;"","MTO-"&amp;TEXT(ROW()-3,"000"),"")</f>
        <v/>
      </c>
      <c r="B43" s="68" t="n"/>
      <c r="C43" s="71" t="n"/>
      <c r="D43" s="71" t="n"/>
      <c r="E43" s="160" t="n"/>
      <c r="F43" s="50" t="n"/>
      <c r="G43" s="70" t="n"/>
      <c r="H43" s="71" t="n"/>
      <c r="I43" s="73" t="n"/>
    </row>
    <row r="44" ht="18" customHeight="1">
      <c r="A44" s="157">
        <f>IF(B44&lt;&gt;"","MTO-"&amp;TEXT(ROW()-3,"000"),"")</f>
        <v/>
      </c>
      <c r="B44" s="56" t="n"/>
      <c r="C44" s="59" t="n"/>
      <c r="D44" s="59" t="n"/>
      <c r="E44" s="158" t="n"/>
      <c r="F44" s="50" t="n"/>
      <c r="G44" s="58" t="n"/>
      <c r="H44" s="59" t="n"/>
      <c r="I44" s="61" t="n"/>
    </row>
    <row r="45" ht="18" customHeight="1">
      <c r="A45" s="157">
        <f>IF(B45&lt;&gt;"","MTO-"&amp;TEXT(ROW()-3,"000"),"")</f>
        <v/>
      </c>
      <c r="B45" s="68" t="n"/>
      <c r="C45" s="71" t="n"/>
      <c r="D45" s="71" t="n"/>
      <c r="E45" s="160" t="n"/>
      <c r="F45" s="50" t="n"/>
      <c r="G45" s="70" t="n"/>
      <c r="H45" s="71" t="n"/>
      <c r="I45" s="73" t="n"/>
    </row>
    <row r="46" ht="18" customHeight="1">
      <c r="A46" s="157">
        <f>IF(B46&lt;&gt;"","MTO-"&amp;TEXT(ROW()-3,"000"),"")</f>
        <v/>
      </c>
      <c r="B46" s="56" t="n"/>
      <c r="C46" s="59" t="n"/>
      <c r="D46" s="59" t="n"/>
      <c r="E46" s="158" t="n"/>
      <c r="F46" s="50" t="n"/>
      <c r="G46" s="58" t="n"/>
      <c r="H46" s="59" t="n"/>
      <c r="I46" s="61" t="n"/>
    </row>
    <row r="47" ht="18" customHeight="1">
      <c r="A47" s="157">
        <f>IF(B47&lt;&gt;"","MTO-"&amp;TEXT(ROW()-3,"000"),"")</f>
        <v/>
      </c>
      <c r="B47" s="68" t="n"/>
      <c r="C47" s="71" t="n"/>
      <c r="D47" s="71" t="n"/>
      <c r="E47" s="160" t="n"/>
      <c r="F47" s="50" t="n"/>
      <c r="G47" s="70" t="n"/>
      <c r="H47" s="71" t="n"/>
      <c r="I47" s="73" t="n"/>
    </row>
    <row r="48" ht="18" customHeight="1">
      <c r="A48" s="157">
        <f>IF(B48&lt;&gt;"","MTO-"&amp;TEXT(ROW()-3,"000"),"")</f>
        <v/>
      </c>
      <c r="B48" s="56" t="n"/>
      <c r="C48" s="59" t="n"/>
      <c r="D48" s="59" t="n"/>
      <c r="E48" s="158" t="n"/>
      <c r="F48" s="50" t="n"/>
      <c r="G48" s="58" t="n"/>
      <c r="H48" s="59" t="n"/>
      <c r="I48" s="61" t="n"/>
    </row>
    <row r="49" ht="18" customHeight="1">
      <c r="A49" s="157">
        <f>IF(B49&lt;&gt;"","MTO-"&amp;TEXT(ROW()-3,"000"),"")</f>
        <v/>
      </c>
      <c r="B49" s="68" t="n"/>
      <c r="C49" s="71" t="n"/>
      <c r="D49" s="71" t="n"/>
      <c r="E49" s="160" t="n"/>
      <c r="F49" s="50" t="n"/>
      <c r="G49" s="70" t="n"/>
      <c r="H49" s="71" t="n"/>
      <c r="I49" s="73" t="n"/>
    </row>
    <row r="50" ht="18" customHeight="1">
      <c r="A50" s="157">
        <f>IF(B50&lt;&gt;"","MTO-"&amp;TEXT(ROW()-3,"000"),"")</f>
        <v/>
      </c>
      <c r="B50" s="56" t="n"/>
      <c r="C50" s="59" t="n"/>
      <c r="D50" s="59" t="n"/>
      <c r="E50" s="158" t="n"/>
      <c r="F50" s="50" t="n"/>
      <c r="G50" s="58" t="n"/>
      <c r="H50" s="59" t="n"/>
      <c r="I50" s="61" t="n"/>
    </row>
    <row r="51" ht="18" customHeight="1">
      <c r="A51" s="157">
        <f>IF(B51&lt;&gt;"","MTO-"&amp;TEXT(ROW()-3,"000"),"")</f>
        <v/>
      </c>
      <c r="B51" s="68" t="n"/>
      <c r="C51" s="71" t="n"/>
      <c r="D51" s="71" t="n"/>
      <c r="E51" s="160" t="n"/>
      <c r="F51" s="50" t="n"/>
      <c r="G51" s="70" t="n"/>
      <c r="H51" s="71" t="n"/>
      <c r="I51" s="73" t="n"/>
    </row>
    <row r="52" ht="18" customHeight="1">
      <c r="A52" s="157">
        <f>IF(B52&lt;&gt;"","MTO-"&amp;TEXT(ROW()-3,"000"),"")</f>
        <v/>
      </c>
      <c r="B52" s="56" t="n"/>
      <c r="C52" s="59" t="n"/>
      <c r="D52" s="59" t="n"/>
      <c r="E52" s="158" t="n"/>
      <c r="F52" s="50" t="n"/>
      <c r="G52" s="58" t="n"/>
      <c r="H52" s="59" t="n"/>
      <c r="I52" s="61" t="n"/>
    </row>
    <row r="53" ht="18" customHeight="1">
      <c r="A53" s="157">
        <f>IF(B53&lt;&gt;"","MTO-"&amp;TEXT(ROW()-3,"000"),"")</f>
        <v/>
      </c>
      <c r="B53" s="68" t="n"/>
      <c r="C53" s="71" t="n"/>
      <c r="D53" s="71" t="n"/>
      <c r="E53" s="160" t="n"/>
      <c r="F53" s="50" t="n"/>
      <c r="G53" s="70" t="n"/>
      <c r="H53" s="71" t="n"/>
      <c r="I53" s="73" t="n"/>
    </row>
    <row r="54" ht="18" customHeight="1">
      <c r="A54" s="157">
        <f>IF(B54&lt;&gt;"","MTO-"&amp;TEXT(ROW()-3,"000"),"")</f>
        <v/>
      </c>
      <c r="B54" s="56" t="n"/>
      <c r="C54" s="59" t="n"/>
      <c r="D54" s="59" t="n"/>
      <c r="E54" s="158" t="n"/>
      <c r="F54" s="50" t="n"/>
      <c r="G54" s="58" t="n"/>
      <c r="H54" s="59" t="n"/>
      <c r="I54" s="61" t="n"/>
    </row>
    <row r="55" ht="18" customHeight="1">
      <c r="A55" s="157">
        <f>IF(B55&lt;&gt;"","MTO-"&amp;TEXT(ROW()-3,"000"),"")</f>
        <v/>
      </c>
      <c r="B55" s="68" t="n"/>
      <c r="C55" s="71" t="n"/>
      <c r="D55" s="71" t="n"/>
      <c r="E55" s="160" t="n"/>
      <c r="F55" s="50" t="n"/>
      <c r="G55" s="70" t="n"/>
      <c r="H55" s="71" t="n"/>
      <c r="I55" s="73" t="n"/>
    </row>
    <row r="56" ht="18" customHeight="1">
      <c r="A56" s="157">
        <f>IF(B56&lt;&gt;"","MTO-"&amp;TEXT(ROW()-3,"000"),"")</f>
        <v/>
      </c>
      <c r="B56" s="56" t="n"/>
      <c r="C56" s="59" t="n"/>
      <c r="D56" s="59" t="n"/>
      <c r="E56" s="158" t="n"/>
      <c r="F56" s="50" t="n"/>
      <c r="G56" s="58" t="n"/>
      <c r="H56" s="59" t="n"/>
      <c r="I56" s="61" t="n"/>
    </row>
    <row r="57" ht="18" customHeight="1">
      <c r="A57" s="157">
        <f>IF(B57&lt;&gt;"","MTO-"&amp;TEXT(ROW()-3,"000"),"")</f>
        <v/>
      </c>
      <c r="B57" s="68" t="n"/>
      <c r="C57" s="71" t="n"/>
      <c r="D57" s="71" t="n"/>
      <c r="E57" s="160" t="n"/>
      <c r="F57" s="50" t="n"/>
      <c r="G57" s="70" t="n"/>
      <c r="H57" s="71" t="n"/>
      <c r="I57" s="73" t="n"/>
    </row>
    <row r="58" ht="18" customHeight="1">
      <c r="A58" s="157">
        <f>IF(B58&lt;&gt;"","MTO-"&amp;TEXT(ROW()-3,"000"),"")</f>
        <v/>
      </c>
      <c r="B58" s="56" t="n"/>
      <c r="C58" s="59" t="n"/>
      <c r="D58" s="59" t="n"/>
      <c r="E58" s="158" t="n"/>
      <c r="F58" s="50" t="n"/>
      <c r="G58" s="58" t="n"/>
      <c r="H58" s="59" t="n"/>
      <c r="I58" s="61" t="n"/>
    </row>
    <row r="59" ht="18" customHeight="1">
      <c r="A59" s="157">
        <f>IF(B59&lt;&gt;"","MTO-"&amp;TEXT(ROW()-3,"000"),"")</f>
        <v/>
      </c>
      <c r="B59" s="68" t="n"/>
      <c r="C59" s="71" t="n"/>
      <c r="D59" s="71" t="n"/>
      <c r="E59" s="160" t="n"/>
      <c r="F59" s="50" t="n"/>
      <c r="G59" s="70" t="n"/>
      <c r="H59" s="71" t="n"/>
      <c r="I59" s="73" t="n"/>
    </row>
    <row r="60" ht="18" customHeight="1">
      <c r="A60" s="157">
        <f>IF(B60&lt;&gt;"","MTO-"&amp;TEXT(ROW()-3,"000"),"")</f>
        <v/>
      </c>
      <c r="B60" s="56" t="n"/>
      <c r="C60" s="59" t="n"/>
      <c r="D60" s="59" t="n"/>
      <c r="E60" s="158" t="n"/>
      <c r="F60" s="50" t="n"/>
      <c r="G60" s="58" t="n"/>
      <c r="H60" s="59" t="n"/>
      <c r="I60" s="61" t="n"/>
    </row>
    <row r="61" ht="18" customHeight="1">
      <c r="A61" s="157">
        <f>IF(B61&lt;&gt;"","MTO-"&amp;TEXT(ROW()-3,"000"),"")</f>
        <v/>
      </c>
      <c r="B61" s="68" t="n"/>
      <c r="C61" s="71" t="n"/>
      <c r="D61" s="71" t="n"/>
      <c r="E61" s="160" t="n"/>
      <c r="F61" s="50" t="n"/>
      <c r="G61" s="70" t="n"/>
      <c r="H61" s="71" t="n"/>
      <c r="I61" s="73" t="n"/>
    </row>
    <row r="62" ht="18" customHeight="1">
      <c r="A62" s="157">
        <f>IF(B62&lt;&gt;"","MTO-"&amp;TEXT(ROW()-3,"000"),"")</f>
        <v/>
      </c>
      <c r="B62" s="56" t="n"/>
      <c r="C62" s="59" t="n"/>
      <c r="D62" s="59" t="n"/>
      <c r="E62" s="158" t="n"/>
      <c r="F62" s="50" t="n"/>
      <c r="G62" s="58" t="n"/>
      <c r="H62" s="59" t="n"/>
      <c r="I62" s="61" t="n"/>
    </row>
    <row r="63" ht="18" customHeight="1">
      <c r="A63" s="157">
        <f>IF(B63&lt;&gt;"","MTO-"&amp;TEXT(ROW()-3,"000"),"")</f>
        <v/>
      </c>
      <c r="B63" s="68" t="n"/>
      <c r="C63" s="71" t="n"/>
      <c r="D63" s="71" t="n"/>
      <c r="E63" s="160" t="n"/>
      <c r="F63" s="50" t="n"/>
      <c r="G63" s="70" t="n"/>
      <c r="H63" s="71" t="n"/>
      <c r="I63" s="73" t="n"/>
    </row>
    <row r="64" ht="18" customHeight="1">
      <c r="A64" s="157">
        <f>IF(B64&lt;&gt;"","MTO-"&amp;TEXT(ROW()-3,"000"),"")</f>
        <v/>
      </c>
      <c r="B64" s="56" t="n"/>
      <c r="C64" s="59" t="n"/>
      <c r="D64" s="59" t="n"/>
      <c r="E64" s="158" t="n"/>
      <c r="F64" s="50" t="n"/>
      <c r="G64" s="58" t="n"/>
      <c r="H64" s="59" t="n"/>
      <c r="I64" s="61" t="n"/>
    </row>
    <row r="65" ht="18" customHeight="1">
      <c r="A65" s="157">
        <f>IF(B65&lt;&gt;"","MTO-"&amp;TEXT(ROW()-3,"000"),"")</f>
        <v/>
      </c>
      <c r="B65" s="68" t="n"/>
      <c r="C65" s="71" t="n"/>
      <c r="D65" s="71" t="n"/>
      <c r="E65" s="160" t="n"/>
      <c r="F65" s="50" t="n"/>
      <c r="G65" s="70" t="n"/>
      <c r="H65" s="71" t="n"/>
      <c r="I65" s="73" t="n"/>
    </row>
    <row r="66" ht="18" customHeight="1">
      <c r="A66" s="157">
        <f>IF(B66&lt;&gt;"","MTO-"&amp;TEXT(ROW()-3,"000"),"")</f>
        <v/>
      </c>
      <c r="B66" s="56" t="n"/>
      <c r="C66" s="59" t="n"/>
      <c r="D66" s="59" t="n"/>
      <c r="E66" s="158" t="n"/>
      <c r="F66" s="50" t="n"/>
      <c r="G66" s="58" t="n"/>
      <c r="H66" s="59" t="n"/>
      <c r="I66" s="61" t="n"/>
    </row>
    <row r="67" ht="18" customHeight="1">
      <c r="A67" s="157">
        <f>IF(B67&lt;&gt;"","MTO-"&amp;TEXT(ROW()-3,"000"),"")</f>
        <v/>
      </c>
      <c r="B67" s="68" t="n"/>
      <c r="C67" s="71" t="n"/>
      <c r="D67" s="71" t="n"/>
      <c r="E67" s="160" t="n"/>
      <c r="F67" s="50" t="n"/>
      <c r="G67" s="70" t="n"/>
      <c r="H67" s="71" t="n"/>
      <c r="I67" s="73" t="n"/>
    </row>
    <row r="68" ht="18" customHeight="1">
      <c r="A68" s="157">
        <f>IF(B68&lt;&gt;"","MTO-"&amp;TEXT(ROW()-3,"000"),"")</f>
        <v/>
      </c>
      <c r="B68" s="56" t="n"/>
      <c r="C68" s="59" t="n"/>
      <c r="D68" s="59" t="n"/>
      <c r="E68" s="158" t="n"/>
      <c r="F68" s="50" t="n"/>
      <c r="G68" s="58" t="n"/>
      <c r="H68" s="59" t="n"/>
      <c r="I68" s="61" t="n"/>
    </row>
    <row r="69" ht="18" customHeight="1">
      <c r="A69" s="157">
        <f>IF(B69&lt;&gt;"","MTO-"&amp;TEXT(ROW()-3,"000"),"")</f>
        <v/>
      </c>
      <c r="B69" s="68" t="n"/>
      <c r="C69" s="71" t="n"/>
      <c r="D69" s="71" t="n"/>
      <c r="E69" s="160" t="n"/>
      <c r="F69" s="50" t="n"/>
      <c r="G69" s="70" t="n"/>
      <c r="H69" s="71" t="n"/>
      <c r="I69" s="73" t="n"/>
    </row>
    <row r="70" ht="18" customHeight="1">
      <c r="A70" s="157">
        <f>IF(B70&lt;&gt;"","MTO-"&amp;TEXT(ROW()-3,"000"),"")</f>
        <v/>
      </c>
      <c r="B70" s="56" t="n"/>
      <c r="C70" s="59" t="n"/>
      <c r="D70" s="59" t="n"/>
      <c r="E70" s="158" t="n"/>
      <c r="F70" s="50" t="n"/>
      <c r="G70" s="58" t="n"/>
      <c r="H70" s="59" t="n"/>
      <c r="I70" s="61" t="n"/>
    </row>
    <row r="71" ht="18" customHeight="1">
      <c r="A71" s="157">
        <f>IF(B71&lt;&gt;"","MTO-"&amp;TEXT(ROW()-3,"000"),"")</f>
        <v/>
      </c>
      <c r="B71" s="68" t="n"/>
      <c r="C71" s="71" t="n"/>
      <c r="D71" s="71" t="n"/>
      <c r="E71" s="160" t="n"/>
      <c r="F71" s="50" t="n"/>
      <c r="G71" s="70" t="n"/>
      <c r="H71" s="71" t="n"/>
      <c r="I71" s="73" t="n"/>
    </row>
    <row r="72" ht="18" customHeight="1">
      <c r="A72" s="157">
        <f>IF(B72&lt;&gt;"","MTO-"&amp;TEXT(ROW()-3,"000"),"")</f>
        <v/>
      </c>
      <c r="B72" s="56" t="n"/>
      <c r="C72" s="59" t="n"/>
      <c r="D72" s="59" t="n"/>
      <c r="E72" s="158" t="n"/>
      <c r="F72" s="50" t="n"/>
      <c r="G72" s="58" t="n"/>
      <c r="H72" s="59" t="n"/>
      <c r="I72" s="61" t="n"/>
    </row>
    <row r="73" ht="18" customHeight="1">
      <c r="A73" s="157">
        <f>IF(B73&lt;&gt;"","MTO-"&amp;TEXT(ROW()-3,"000"),"")</f>
        <v/>
      </c>
      <c r="B73" s="68" t="n"/>
      <c r="C73" s="71" t="n"/>
      <c r="D73" s="71" t="n"/>
      <c r="E73" s="160" t="n"/>
      <c r="F73" s="50" t="n"/>
      <c r="G73" s="70" t="n"/>
      <c r="H73" s="71" t="n"/>
      <c r="I73" s="73" t="n"/>
    </row>
    <row r="74" ht="18" customHeight="1">
      <c r="A74" s="157">
        <f>IF(B74&lt;&gt;"","MTO-"&amp;TEXT(ROW()-3,"000"),"")</f>
        <v/>
      </c>
      <c r="B74" s="56" t="n"/>
      <c r="C74" s="59" t="n"/>
      <c r="D74" s="59" t="n"/>
      <c r="E74" s="158" t="n"/>
      <c r="F74" s="50" t="n"/>
      <c r="G74" s="58" t="n"/>
      <c r="H74" s="59" t="n"/>
      <c r="I74" s="61" t="n"/>
    </row>
    <row r="75" ht="18" customHeight="1">
      <c r="A75" s="157">
        <f>IF(B75&lt;&gt;"","MTO-"&amp;TEXT(ROW()-3,"000"),"")</f>
        <v/>
      </c>
      <c r="B75" s="68" t="n"/>
      <c r="C75" s="71" t="n"/>
      <c r="D75" s="71" t="n"/>
      <c r="E75" s="160" t="n"/>
      <c r="F75" s="50" t="n"/>
      <c r="G75" s="70" t="n"/>
      <c r="H75" s="71" t="n"/>
      <c r="I75" s="73" t="n"/>
    </row>
    <row r="76" ht="18" customHeight="1">
      <c r="A76" s="157">
        <f>IF(B76&lt;&gt;"","MTO-"&amp;TEXT(ROW()-3,"000"),"")</f>
        <v/>
      </c>
      <c r="B76" s="56" t="n"/>
      <c r="C76" s="59" t="n"/>
      <c r="D76" s="59" t="n"/>
      <c r="E76" s="158" t="n"/>
      <c r="F76" s="50" t="n"/>
      <c r="G76" s="58" t="n"/>
      <c r="H76" s="59" t="n"/>
      <c r="I76" s="61" t="n"/>
    </row>
    <row r="77" ht="18" customHeight="1">
      <c r="A77" s="157">
        <f>IF(B77&lt;&gt;"","MTO-"&amp;TEXT(ROW()-3,"000"),"")</f>
        <v/>
      </c>
      <c r="B77" s="68" t="n"/>
      <c r="C77" s="71" t="n"/>
      <c r="D77" s="71" t="n"/>
      <c r="E77" s="160" t="n"/>
      <c r="F77" s="50" t="n"/>
      <c r="G77" s="70" t="n"/>
      <c r="H77" s="71" t="n"/>
      <c r="I77" s="73" t="n"/>
    </row>
    <row r="78" ht="18" customHeight="1">
      <c r="A78" s="157">
        <f>IF(B78&lt;&gt;"","MTO-"&amp;TEXT(ROW()-3,"000"),"")</f>
        <v/>
      </c>
      <c r="B78" s="56" t="n"/>
      <c r="C78" s="59" t="n"/>
      <c r="D78" s="59" t="n"/>
      <c r="E78" s="158" t="n"/>
      <c r="F78" s="50" t="n"/>
      <c r="G78" s="58" t="n"/>
      <c r="H78" s="59" t="n"/>
      <c r="I78" s="61" t="n"/>
    </row>
    <row r="79" ht="18" customHeight="1">
      <c r="A79" s="157">
        <f>IF(B79&lt;&gt;"","MTO-"&amp;TEXT(ROW()-3,"000"),"")</f>
        <v/>
      </c>
      <c r="B79" s="68" t="n"/>
      <c r="C79" s="71" t="n"/>
      <c r="D79" s="71" t="n"/>
      <c r="E79" s="160" t="n"/>
      <c r="F79" s="50" t="n"/>
      <c r="G79" s="70" t="n"/>
      <c r="H79" s="71" t="n"/>
      <c r="I79" s="73" t="n"/>
    </row>
    <row r="80" ht="18" customHeight="1">
      <c r="A80" s="157">
        <f>IF(B80&lt;&gt;"","MTO-"&amp;TEXT(ROW()-3,"000"),"")</f>
        <v/>
      </c>
      <c r="B80" s="56" t="n"/>
      <c r="C80" s="59" t="n"/>
      <c r="D80" s="59" t="n"/>
      <c r="E80" s="158" t="n"/>
      <c r="F80" s="50" t="n"/>
      <c r="G80" s="58" t="n"/>
      <c r="H80" s="59" t="n"/>
      <c r="I80" s="61" t="n"/>
    </row>
    <row r="81" ht="18" customHeight="1">
      <c r="A81" s="157">
        <f>IF(B81&lt;&gt;"","MTO-"&amp;TEXT(ROW()-3,"000"),"")</f>
        <v/>
      </c>
      <c r="B81" s="68" t="n"/>
      <c r="C81" s="71" t="n"/>
      <c r="D81" s="71" t="n"/>
      <c r="E81" s="160" t="n"/>
      <c r="F81" s="50" t="n"/>
      <c r="G81" s="70" t="n"/>
      <c r="H81" s="71" t="n"/>
      <c r="I81" s="73" t="n"/>
    </row>
    <row r="82" ht="18" customHeight="1">
      <c r="A82" s="157">
        <f>IF(B82&lt;&gt;"","MTO-"&amp;TEXT(ROW()-3,"000"),"")</f>
        <v/>
      </c>
      <c r="B82" s="56" t="n"/>
      <c r="C82" s="59" t="n"/>
      <c r="D82" s="59" t="n"/>
      <c r="E82" s="158" t="n"/>
      <c r="F82" s="50" t="n"/>
      <c r="G82" s="58" t="n"/>
      <c r="H82" s="59" t="n"/>
      <c r="I82" s="61" t="n"/>
    </row>
    <row r="83" ht="18" customHeight="1">
      <c r="A83" s="157">
        <f>IF(B83&lt;&gt;"","MTO-"&amp;TEXT(ROW()-3,"000"),"")</f>
        <v/>
      </c>
      <c r="B83" s="68" t="n"/>
      <c r="C83" s="71" t="n"/>
      <c r="D83" s="71" t="n"/>
      <c r="E83" s="160" t="n"/>
      <c r="F83" s="50" t="n"/>
      <c r="G83" s="70" t="n"/>
      <c r="H83" s="71" t="n"/>
      <c r="I83" s="73" t="n"/>
    </row>
    <row r="84" ht="18" customHeight="1">
      <c r="A84" s="157">
        <f>IF(B84&lt;&gt;"","MTO-"&amp;TEXT(ROW()-3,"000"),"")</f>
        <v/>
      </c>
      <c r="B84" s="56" t="n"/>
      <c r="C84" s="59" t="n"/>
      <c r="D84" s="59" t="n"/>
      <c r="E84" s="158" t="n"/>
      <c r="F84" s="50" t="n"/>
      <c r="G84" s="58" t="n"/>
      <c r="H84" s="59" t="n"/>
      <c r="I84" s="61" t="n"/>
    </row>
    <row r="85" ht="18" customHeight="1">
      <c r="A85" s="157">
        <f>IF(B85&lt;&gt;"","MTO-"&amp;TEXT(ROW()-3,"000"),"")</f>
        <v/>
      </c>
      <c r="B85" s="68" t="n"/>
      <c r="C85" s="71" t="n"/>
      <c r="D85" s="71" t="n"/>
      <c r="E85" s="160" t="n"/>
      <c r="F85" s="50" t="n"/>
      <c r="G85" s="70" t="n"/>
      <c r="H85" s="71" t="n"/>
      <c r="I85" s="73" t="n"/>
    </row>
    <row r="86" ht="18" customHeight="1">
      <c r="A86" s="157">
        <f>IF(B86&lt;&gt;"","MTO-"&amp;TEXT(ROW()-3,"000"),"")</f>
        <v/>
      </c>
      <c r="B86" s="56" t="n"/>
      <c r="C86" s="59" t="n"/>
      <c r="D86" s="59" t="n"/>
      <c r="E86" s="158" t="n"/>
      <c r="F86" s="50" t="n"/>
      <c r="G86" s="58" t="n"/>
      <c r="H86" s="59" t="n"/>
      <c r="I86" s="61" t="n"/>
    </row>
    <row r="87" ht="18" customHeight="1">
      <c r="A87" s="157">
        <f>IF(B87&lt;&gt;"","MTO-"&amp;TEXT(ROW()-3,"000"),"")</f>
        <v/>
      </c>
      <c r="B87" s="68" t="n"/>
      <c r="C87" s="71" t="n"/>
      <c r="D87" s="71" t="n"/>
      <c r="E87" s="160" t="n"/>
      <c r="F87" s="50" t="n"/>
      <c r="G87" s="70" t="n"/>
      <c r="H87" s="71" t="n"/>
      <c r="I87" s="73" t="n"/>
    </row>
    <row r="88" ht="18" customHeight="1">
      <c r="A88" s="157">
        <f>IF(B88&lt;&gt;"","MTO-"&amp;TEXT(ROW()-3,"000"),"")</f>
        <v/>
      </c>
      <c r="B88" s="56" t="n"/>
      <c r="C88" s="59" t="n"/>
      <c r="D88" s="59" t="n"/>
      <c r="E88" s="158" t="n"/>
      <c r="F88" s="50" t="n"/>
      <c r="G88" s="58" t="n"/>
      <c r="H88" s="59" t="n"/>
      <c r="I88" s="61" t="n"/>
    </row>
    <row r="89" ht="18" customHeight="1">
      <c r="A89" s="157">
        <f>IF(B89&lt;&gt;"","MTO-"&amp;TEXT(ROW()-3,"000"),"")</f>
        <v/>
      </c>
      <c r="B89" s="68" t="n"/>
      <c r="C89" s="71" t="n"/>
      <c r="D89" s="71" t="n"/>
      <c r="E89" s="160" t="n"/>
      <c r="F89" s="50" t="n"/>
      <c r="G89" s="70" t="n"/>
      <c r="H89" s="71" t="n"/>
      <c r="I89" s="73" t="n"/>
    </row>
    <row r="90" ht="18" customHeight="1">
      <c r="A90" s="157">
        <f>IF(B90&lt;&gt;"","MTO-"&amp;TEXT(ROW()-3,"000"),"")</f>
        <v/>
      </c>
      <c r="B90" s="56" t="n"/>
      <c r="C90" s="59" t="n"/>
      <c r="D90" s="59" t="n"/>
      <c r="E90" s="158" t="n"/>
      <c r="F90" s="50" t="n"/>
      <c r="G90" s="58" t="n"/>
      <c r="H90" s="59" t="n"/>
      <c r="I90" s="61" t="n"/>
    </row>
    <row r="91" ht="18" customHeight="1">
      <c r="A91" s="157">
        <f>IF(B91&lt;&gt;"","MTO-"&amp;TEXT(ROW()-3,"000"),"")</f>
        <v/>
      </c>
      <c r="B91" s="68" t="n"/>
      <c r="C91" s="71" t="n"/>
      <c r="D91" s="71" t="n"/>
      <c r="E91" s="160" t="n"/>
      <c r="F91" s="50" t="n"/>
      <c r="G91" s="70" t="n"/>
      <c r="H91" s="71" t="n"/>
      <c r="I91" s="73" t="n"/>
    </row>
    <row r="92" ht="18" customHeight="1">
      <c r="A92" s="157">
        <f>IF(B92&lt;&gt;"","MTO-"&amp;TEXT(ROW()-3,"000"),"")</f>
        <v/>
      </c>
      <c r="B92" s="56" t="n"/>
      <c r="C92" s="59" t="n"/>
      <c r="D92" s="59" t="n"/>
      <c r="E92" s="158" t="n"/>
      <c r="F92" s="50" t="n"/>
      <c r="G92" s="58" t="n"/>
      <c r="H92" s="59" t="n"/>
      <c r="I92" s="61" t="n"/>
    </row>
    <row r="93" ht="18" customHeight="1">
      <c r="A93" s="157">
        <f>IF(B93&lt;&gt;"","MTO-"&amp;TEXT(ROW()-3,"000"),"")</f>
        <v/>
      </c>
      <c r="B93" s="68" t="n"/>
      <c r="C93" s="71" t="n"/>
      <c r="D93" s="71" t="n"/>
      <c r="E93" s="160" t="n"/>
      <c r="F93" s="50" t="n"/>
      <c r="G93" s="70" t="n"/>
      <c r="H93" s="71" t="n"/>
      <c r="I93" s="73" t="n"/>
    </row>
    <row r="94" ht="18" customHeight="1">
      <c r="A94" s="157">
        <f>IF(B94&lt;&gt;"","MTO-"&amp;TEXT(ROW()-3,"000"),"")</f>
        <v/>
      </c>
      <c r="B94" s="56" t="n"/>
      <c r="C94" s="59" t="n"/>
      <c r="D94" s="59" t="n"/>
      <c r="E94" s="158" t="n"/>
      <c r="F94" s="50" t="n"/>
      <c r="G94" s="58" t="n"/>
      <c r="H94" s="59" t="n"/>
      <c r="I94" s="61" t="n"/>
    </row>
    <row r="95" ht="18" customHeight="1">
      <c r="A95" s="157">
        <f>IF(B95&lt;&gt;"","MTO-"&amp;TEXT(ROW()-3,"000"),"")</f>
        <v/>
      </c>
      <c r="B95" s="68" t="n"/>
      <c r="C95" s="71" t="n"/>
      <c r="D95" s="71" t="n"/>
      <c r="E95" s="160" t="n"/>
      <c r="F95" s="50" t="n"/>
      <c r="G95" s="70" t="n"/>
      <c r="H95" s="71" t="n"/>
      <c r="I95" s="73" t="n"/>
    </row>
    <row r="96" ht="18" customHeight="1">
      <c r="A96" s="157">
        <f>IF(B96&lt;&gt;"","MTO-"&amp;TEXT(ROW()-3,"000"),"")</f>
        <v/>
      </c>
      <c r="B96" s="56" t="n"/>
      <c r="C96" s="59" t="n"/>
      <c r="D96" s="59" t="n"/>
      <c r="E96" s="158" t="n"/>
      <c r="F96" s="50" t="n"/>
      <c r="G96" s="58" t="n"/>
      <c r="H96" s="59" t="n"/>
      <c r="I96" s="61" t="n"/>
    </row>
    <row r="97" ht="18" customHeight="1">
      <c r="A97" s="157">
        <f>IF(B97&lt;&gt;"","MTO-"&amp;TEXT(ROW()-3,"000"),"")</f>
        <v/>
      </c>
      <c r="B97" s="68" t="n"/>
      <c r="C97" s="71" t="n"/>
      <c r="D97" s="71" t="n"/>
      <c r="E97" s="160" t="n"/>
      <c r="F97" s="50" t="n"/>
      <c r="G97" s="70" t="n"/>
      <c r="H97" s="71" t="n"/>
      <c r="I97" s="73" t="n"/>
    </row>
    <row r="98" ht="18" customHeight="1">
      <c r="A98" s="157">
        <f>IF(B98&lt;&gt;"","MTO-"&amp;TEXT(ROW()-3,"000"),"")</f>
        <v/>
      </c>
      <c r="B98" s="56" t="n"/>
      <c r="C98" s="59" t="n"/>
      <c r="D98" s="59" t="n"/>
      <c r="E98" s="158" t="n"/>
      <c r="F98" s="50" t="n"/>
      <c r="G98" s="58" t="n"/>
      <c r="H98" s="59" t="n"/>
      <c r="I98" s="61" t="n"/>
    </row>
    <row r="99" ht="18" customHeight="1">
      <c r="A99" s="157">
        <f>IF(B99&lt;&gt;"","MTO-"&amp;TEXT(ROW()-3,"000"),"")</f>
        <v/>
      </c>
      <c r="B99" s="68" t="n"/>
      <c r="C99" s="71" t="n"/>
      <c r="D99" s="71" t="n"/>
      <c r="E99" s="160" t="n"/>
      <c r="F99" s="50" t="n"/>
      <c r="G99" s="70" t="n"/>
      <c r="H99" s="71" t="n"/>
      <c r="I99" s="73" t="n"/>
    </row>
    <row r="100" ht="18" customHeight="1">
      <c r="A100" s="157">
        <f>IF(B100&lt;&gt;"","MTO-"&amp;TEXT(ROW()-3,"000"),"")</f>
        <v/>
      </c>
      <c r="B100" s="56" t="n"/>
      <c r="C100" s="59" t="n"/>
      <c r="D100" s="59" t="n"/>
      <c r="E100" s="158" t="n"/>
      <c r="F100" s="50" t="n"/>
      <c r="G100" s="58" t="n"/>
      <c r="H100" s="59" t="n"/>
      <c r="I100" s="61" t="n"/>
    </row>
    <row r="101" ht="18" customHeight="1">
      <c r="A101" s="157">
        <f>IF(B101&lt;&gt;"","MTO-"&amp;TEXT(ROW()-3,"000"),"")</f>
        <v/>
      </c>
      <c r="B101" s="68" t="n"/>
      <c r="C101" s="71" t="n"/>
      <c r="D101" s="71" t="n"/>
      <c r="E101" s="160" t="n"/>
      <c r="F101" s="50" t="n"/>
      <c r="G101" s="70" t="n"/>
      <c r="H101" s="71" t="n"/>
      <c r="I101" s="73" t="n"/>
    </row>
    <row r="102" ht="18" customHeight="1">
      <c r="A102" s="157">
        <f>IF(B102&lt;&gt;"","MTO-"&amp;TEXT(ROW()-3,"000"),"")</f>
        <v/>
      </c>
      <c r="B102" s="56" t="n"/>
      <c r="C102" s="59" t="n"/>
      <c r="D102" s="59" t="n"/>
      <c r="E102" s="158" t="n"/>
      <c r="F102" s="50" t="n"/>
      <c r="G102" s="58" t="n"/>
      <c r="H102" s="59" t="n"/>
      <c r="I102" s="61" t="n"/>
    </row>
    <row r="103" ht="18" customHeight="1">
      <c r="A103" s="157">
        <f>IF(B103&lt;&gt;"","MTO-"&amp;TEXT(ROW()-3,"000"),"")</f>
        <v/>
      </c>
      <c r="B103" s="68" t="n"/>
      <c r="C103" s="71" t="n"/>
      <c r="D103" s="71" t="n"/>
      <c r="E103" s="160" t="n"/>
      <c r="F103" s="50" t="n"/>
      <c r="G103" s="70" t="n"/>
      <c r="H103" s="71" t="n"/>
      <c r="I103" s="73" t="n"/>
    </row>
    <row r="104" ht="18" customHeight="1">
      <c r="A104" s="157">
        <f>IF(B104&lt;&gt;"","MTO-"&amp;TEXT(ROW()-3,"000"),"")</f>
        <v/>
      </c>
      <c r="B104" s="56" t="n"/>
      <c r="C104" s="59" t="n"/>
      <c r="D104" s="59" t="n"/>
      <c r="E104" s="158" t="n"/>
      <c r="F104" s="50" t="n"/>
      <c r="G104" s="58" t="n"/>
      <c r="H104" s="59" t="n"/>
      <c r="I104" s="61" t="n"/>
    </row>
    <row r="105" ht="18" customHeight="1">
      <c r="A105" s="157">
        <f>IF(B105&lt;&gt;"","MTO-"&amp;TEXT(ROW()-3,"000"),"")</f>
        <v/>
      </c>
      <c r="B105" s="68" t="n"/>
      <c r="C105" s="71" t="n"/>
      <c r="D105" s="71" t="n"/>
      <c r="E105" s="160" t="n"/>
      <c r="F105" s="50" t="n"/>
      <c r="G105" s="70" t="n"/>
      <c r="H105" s="71" t="n"/>
      <c r="I105" s="73" t="n"/>
    </row>
    <row r="106" ht="18" customHeight="1">
      <c r="A106" s="157">
        <f>IF(B106&lt;&gt;"","MTO-"&amp;TEXT(ROW()-3,"000"),"")</f>
        <v/>
      </c>
      <c r="B106" s="56" t="n"/>
      <c r="C106" s="59" t="n"/>
      <c r="D106" s="59" t="n"/>
      <c r="E106" s="158" t="n"/>
      <c r="F106" s="50" t="n"/>
      <c r="G106" s="58" t="n"/>
      <c r="H106" s="59" t="n"/>
      <c r="I106" s="61" t="n"/>
    </row>
    <row r="107" ht="18" customHeight="1">
      <c r="A107" s="157">
        <f>IF(B107&lt;&gt;"","MTO-"&amp;TEXT(ROW()-3,"000"),"")</f>
        <v/>
      </c>
      <c r="B107" s="68" t="n"/>
      <c r="C107" s="71" t="n"/>
      <c r="D107" s="71" t="n"/>
      <c r="E107" s="160" t="n"/>
      <c r="F107" s="50" t="n"/>
      <c r="G107" s="70" t="n"/>
      <c r="H107" s="71" t="n"/>
      <c r="I107" s="73" t="n"/>
    </row>
    <row r="108" ht="18" customHeight="1">
      <c r="A108" s="157">
        <f>IF(B108&lt;&gt;"","MTO-"&amp;TEXT(ROW()-3,"000"),"")</f>
        <v/>
      </c>
      <c r="B108" s="56" t="n"/>
      <c r="C108" s="59" t="n"/>
      <c r="D108" s="59" t="n"/>
      <c r="E108" s="158" t="n"/>
      <c r="F108" s="50" t="n"/>
      <c r="G108" s="58" t="n"/>
      <c r="H108" s="59" t="n"/>
      <c r="I108" s="61" t="n"/>
    </row>
    <row r="109" ht="18" customHeight="1">
      <c r="A109" s="157">
        <f>IF(B109&lt;&gt;"","MTO-"&amp;TEXT(ROW()-3,"000"),"")</f>
        <v/>
      </c>
      <c r="B109" s="68" t="n"/>
      <c r="C109" s="71" t="n"/>
      <c r="D109" s="71" t="n"/>
      <c r="E109" s="160" t="n"/>
      <c r="F109" s="50" t="n"/>
      <c r="G109" s="70" t="n"/>
      <c r="H109" s="71" t="n"/>
      <c r="I109" s="73" t="n"/>
    </row>
    <row r="110" ht="18" customHeight="1">
      <c r="A110" s="157">
        <f>IF(B110&lt;&gt;"","MTO-"&amp;TEXT(ROW()-3,"000"),"")</f>
        <v/>
      </c>
      <c r="B110" s="56" t="n"/>
      <c r="C110" s="59" t="n"/>
      <c r="D110" s="59" t="n"/>
      <c r="E110" s="158" t="n"/>
      <c r="F110" s="50" t="n"/>
      <c r="G110" s="58" t="n"/>
      <c r="H110" s="59" t="n"/>
      <c r="I110" s="61" t="n"/>
    </row>
    <row r="111" ht="18" customHeight="1">
      <c r="A111" s="157">
        <f>IF(B111&lt;&gt;"","MTO-"&amp;TEXT(ROW()-3,"000"),"")</f>
        <v/>
      </c>
      <c r="B111" s="68" t="n"/>
      <c r="C111" s="71" t="n"/>
      <c r="D111" s="71" t="n"/>
      <c r="E111" s="160" t="n"/>
      <c r="F111" s="50" t="n"/>
      <c r="G111" s="70" t="n"/>
      <c r="H111" s="71" t="n"/>
      <c r="I111" s="73" t="n"/>
    </row>
    <row r="112" ht="18" customHeight="1">
      <c r="A112" s="157">
        <f>IF(B112&lt;&gt;"","MTO-"&amp;TEXT(ROW()-3,"000"),"")</f>
        <v/>
      </c>
      <c r="B112" s="56" t="n"/>
      <c r="C112" s="59" t="n"/>
      <c r="D112" s="59" t="n"/>
      <c r="E112" s="158" t="n"/>
      <c r="F112" s="50" t="n"/>
      <c r="G112" s="58" t="n"/>
      <c r="H112" s="59" t="n"/>
      <c r="I112" s="61" t="n"/>
    </row>
    <row r="113" ht="18" customHeight="1">
      <c r="A113" s="157">
        <f>IF(B113&lt;&gt;"","MTO-"&amp;TEXT(ROW()-3,"000"),"")</f>
        <v/>
      </c>
      <c r="B113" s="68" t="n"/>
      <c r="C113" s="71" t="n"/>
      <c r="D113" s="71" t="n"/>
      <c r="E113" s="160" t="n"/>
      <c r="F113" s="50" t="n"/>
      <c r="G113" s="70" t="n"/>
      <c r="H113" s="71" t="n"/>
      <c r="I113" s="73" t="n"/>
    </row>
    <row r="114" ht="18" customHeight="1">
      <c r="A114" s="157">
        <f>IF(B114&lt;&gt;"","MTO-"&amp;TEXT(ROW()-3,"000"),"")</f>
        <v/>
      </c>
      <c r="B114" s="56" t="n"/>
      <c r="C114" s="59" t="n"/>
      <c r="D114" s="59" t="n"/>
      <c r="E114" s="158" t="n"/>
      <c r="F114" s="50" t="n"/>
      <c r="G114" s="58" t="n"/>
      <c r="H114" s="59" t="n"/>
      <c r="I114" s="61" t="n"/>
    </row>
    <row r="115" ht="18" customHeight="1">
      <c r="A115" s="157">
        <f>IF(B115&lt;&gt;"","MTO-"&amp;TEXT(ROW()-3,"000"),"")</f>
        <v/>
      </c>
      <c r="B115" s="68" t="n"/>
      <c r="C115" s="71" t="n"/>
      <c r="D115" s="71" t="n"/>
      <c r="E115" s="160" t="n"/>
      <c r="F115" s="50" t="n"/>
      <c r="G115" s="70" t="n"/>
      <c r="H115" s="71" t="n"/>
      <c r="I115" s="73" t="n"/>
    </row>
    <row r="116" ht="18" customHeight="1">
      <c r="A116" s="157">
        <f>IF(B116&lt;&gt;"","MTO-"&amp;TEXT(ROW()-3,"000"),"")</f>
        <v/>
      </c>
      <c r="B116" s="56" t="n"/>
      <c r="C116" s="59" t="n"/>
      <c r="D116" s="59" t="n"/>
      <c r="E116" s="158" t="n"/>
      <c r="F116" s="50" t="n"/>
      <c r="G116" s="58" t="n"/>
      <c r="H116" s="59" t="n"/>
      <c r="I116" s="61" t="n"/>
    </row>
    <row r="117" ht="18" customHeight="1">
      <c r="A117" s="157">
        <f>IF(B117&lt;&gt;"","MTO-"&amp;TEXT(ROW()-3,"000"),"")</f>
        <v/>
      </c>
      <c r="B117" s="68" t="n"/>
      <c r="C117" s="71" t="n"/>
      <c r="D117" s="71" t="n"/>
      <c r="E117" s="160" t="n"/>
      <c r="F117" s="50" t="n"/>
      <c r="G117" s="70" t="n"/>
      <c r="H117" s="71" t="n"/>
      <c r="I117" s="73" t="n"/>
    </row>
    <row r="118" ht="18" customHeight="1">
      <c r="A118" s="157">
        <f>IF(B118&lt;&gt;"","MTO-"&amp;TEXT(ROW()-3,"000"),"")</f>
        <v/>
      </c>
      <c r="B118" s="56" t="n"/>
      <c r="C118" s="59" t="n"/>
      <c r="D118" s="59" t="n"/>
      <c r="E118" s="158" t="n"/>
      <c r="F118" s="50" t="n"/>
      <c r="G118" s="58" t="n"/>
      <c r="H118" s="59" t="n"/>
      <c r="I118" s="61" t="n"/>
    </row>
    <row r="119" ht="18" customHeight="1">
      <c r="A119" s="157">
        <f>IF(B119&lt;&gt;"","MTO-"&amp;TEXT(ROW()-3,"000"),"")</f>
        <v/>
      </c>
      <c r="B119" s="68" t="n"/>
      <c r="C119" s="71" t="n"/>
      <c r="D119" s="71" t="n"/>
      <c r="E119" s="160" t="n"/>
      <c r="F119" s="50" t="n"/>
      <c r="G119" s="70" t="n"/>
      <c r="H119" s="71" t="n"/>
      <c r="I119" s="73" t="n"/>
    </row>
    <row r="120" ht="18" customHeight="1">
      <c r="A120" s="157">
        <f>IF(B120&lt;&gt;"","MTO-"&amp;TEXT(ROW()-3,"000"),"")</f>
        <v/>
      </c>
      <c r="B120" s="56" t="n"/>
      <c r="C120" s="59" t="n"/>
      <c r="D120" s="59" t="n"/>
      <c r="E120" s="158" t="n"/>
      <c r="F120" s="50" t="n"/>
      <c r="G120" s="58" t="n"/>
      <c r="H120" s="59" t="n"/>
      <c r="I120" s="61" t="n"/>
    </row>
    <row r="121" ht="18" customHeight="1">
      <c r="A121" s="157">
        <f>IF(B121&lt;&gt;"","MTO-"&amp;TEXT(ROW()-3,"000"),"")</f>
        <v/>
      </c>
      <c r="B121" s="68" t="n"/>
      <c r="C121" s="71" t="n"/>
      <c r="D121" s="71" t="n"/>
      <c r="E121" s="160" t="n"/>
      <c r="F121" s="50" t="n"/>
      <c r="G121" s="70" t="n"/>
      <c r="H121" s="71" t="n"/>
      <c r="I121" s="73" t="n"/>
    </row>
    <row r="122" ht="18" customHeight="1">
      <c r="A122" s="157">
        <f>IF(B122&lt;&gt;"","MTO-"&amp;TEXT(ROW()-3,"000"),"")</f>
        <v/>
      </c>
      <c r="B122" s="56" t="n"/>
      <c r="C122" s="59" t="n"/>
      <c r="D122" s="59" t="n"/>
      <c r="E122" s="158" t="n"/>
      <c r="F122" s="50" t="n"/>
      <c r="G122" s="58" t="n"/>
      <c r="H122" s="59" t="n"/>
      <c r="I122" s="61" t="n"/>
    </row>
    <row r="123" ht="18" customHeight="1">
      <c r="A123" s="157">
        <f>IF(B123&lt;&gt;"","MTO-"&amp;TEXT(ROW()-3,"000"),"")</f>
        <v/>
      </c>
      <c r="B123" s="68" t="n"/>
      <c r="C123" s="71" t="n"/>
      <c r="D123" s="71" t="n"/>
      <c r="E123" s="160" t="n"/>
      <c r="F123" s="50" t="n"/>
      <c r="G123" s="70" t="n"/>
      <c r="H123" s="71" t="n"/>
      <c r="I123" s="73" t="n"/>
    </row>
    <row r="124" ht="18" customHeight="1">
      <c r="A124" s="157">
        <f>IF(B124&lt;&gt;"","MTO-"&amp;TEXT(ROW()-3,"000"),"")</f>
        <v/>
      </c>
      <c r="B124" s="56" t="n"/>
      <c r="C124" s="59" t="n"/>
      <c r="D124" s="59" t="n"/>
      <c r="E124" s="158" t="n"/>
      <c r="F124" s="50" t="n"/>
      <c r="G124" s="58" t="n"/>
      <c r="H124" s="59" t="n"/>
      <c r="I124" s="61" t="n"/>
    </row>
    <row r="125" ht="18" customHeight="1">
      <c r="A125" s="157">
        <f>IF(B125&lt;&gt;"","MTO-"&amp;TEXT(ROW()-3,"000"),"")</f>
        <v/>
      </c>
      <c r="B125" s="68" t="n"/>
      <c r="C125" s="71" t="n"/>
      <c r="D125" s="71" t="n"/>
      <c r="E125" s="160" t="n"/>
      <c r="F125" s="50" t="n"/>
      <c r="G125" s="70" t="n"/>
      <c r="H125" s="71" t="n"/>
      <c r="I125" s="73" t="n"/>
    </row>
    <row r="126" ht="18" customHeight="1">
      <c r="A126" s="157">
        <f>IF(B126&lt;&gt;"","MTO-"&amp;TEXT(ROW()-3,"000"),"")</f>
        <v/>
      </c>
      <c r="B126" s="56" t="n"/>
      <c r="C126" s="59" t="n"/>
      <c r="D126" s="59" t="n"/>
      <c r="E126" s="158" t="n"/>
      <c r="F126" s="50" t="n"/>
      <c r="G126" s="58" t="n"/>
      <c r="H126" s="59" t="n"/>
      <c r="I126" s="61" t="n"/>
    </row>
    <row r="127" ht="18" customHeight="1">
      <c r="A127" s="157">
        <f>IF(B127&lt;&gt;"","MTO-"&amp;TEXT(ROW()-3,"000"),"")</f>
        <v/>
      </c>
      <c r="B127" s="68" t="n"/>
      <c r="C127" s="71" t="n"/>
      <c r="D127" s="71" t="n"/>
      <c r="E127" s="160" t="n"/>
      <c r="F127" s="50" t="n"/>
      <c r="G127" s="70" t="n"/>
      <c r="H127" s="71" t="n"/>
      <c r="I127" s="73" t="n"/>
    </row>
    <row r="128" ht="18" customHeight="1">
      <c r="A128" s="157">
        <f>IF(B128&lt;&gt;"","MTO-"&amp;TEXT(ROW()-3,"000"),"")</f>
        <v/>
      </c>
      <c r="B128" s="56" t="n"/>
      <c r="C128" s="59" t="n"/>
      <c r="D128" s="59" t="n"/>
      <c r="E128" s="158" t="n"/>
      <c r="F128" s="50" t="n"/>
      <c r="G128" s="58" t="n"/>
      <c r="H128" s="59" t="n"/>
      <c r="I128" s="61" t="n"/>
    </row>
    <row r="129" ht="18" customHeight="1">
      <c r="A129" s="157">
        <f>IF(B129&lt;&gt;"","MTO-"&amp;TEXT(ROW()-3,"000"),"")</f>
        <v/>
      </c>
      <c r="B129" s="68" t="n"/>
      <c r="C129" s="71" t="n"/>
      <c r="D129" s="71" t="n"/>
      <c r="E129" s="160" t="n"/>
      <c r="F129" s="50" t="n"/>
      <c r="G129" s="70" t="n"/>
      <c r="H129" s="71" t="n"/>
      <c r="I129" s="73" t="n"/>
    </row>
    <row r="130" ht="18" customHeight="1">
      <c r="A130" s="157">
        <f>IF(B130&lt;&gt;"","MTO-"&amp;TEXT(ROW()-3,"000"),"")</f>
        <v/>
      </c>
      <c r="B130" s="56" t="n"/>
      <c r="C130" s="59" t="n"/>
      <c r="D130" s="59" t="n"/>
      <c r="E130" s="158" t="n"/>
      <c r="F130" s="50" t="n"/>
      <c r="G130" s="58" t="n"/>
      <c r="H130" s="59" t="n"/>
      <c r="I130" s="61" t="n"/>
    </row>
    <row r="131" ht="18" customHeight="1">
      <c r="A131" s="157">
        <f>IF(B131&lt;&gt;"","MTO-"&amp;TEXT(ROW()-3,"000"),"")</f>
        <v/>
      </c>
      <c r="B131" s="68" t="n"/>
      <c r="C131" s="71" t="n"/>
      <c r="D131" s="71" t="n"/>
      <c r="E131" s="160" t="n"/>
      <c r="F131" s="50" t="n"/>
      <c r="G131" s="70" t="n"/>
      <c r="H131" s="71" t="n"/>
      <c r="I131" s="73" t="n"/>
    </row>
    <row r="132" ht="18" customHeight="1">
      <c r="A132" s="157">
        <f>IF(B132&lt;&gt;"","MTO-"&amp;TEXT(ROW()-3,"000"),"")</f>
        <v/>
      </c>
      <c r="B132" s="56" t="n"/>
      <c r="C132" s="59" t="n"/>
      <c r="D132" s="59" t="n"/>
      <c r="E132" s="158" t="n"/>
      <c r="F132" s="50" t="n"/>
      <c r="G132" s="58" t="n"/>
      <c r="H132" s="59" t="n"/>
      <c r="I132" s="61" t="n"/>
    </row>
    <row r="133" ht="18" customHeight="1">
      <c r="A133" s="157">
        <f>IF(B133&lt;&gt;"","MTO-"&amp;TEXT(ROW()-3,"000"),"")</f>
        <v/>
      </c>
      <c r="B133" s="68" t="n"/>
      <c r="C133" s="71" t="n"/>
      <c r="D133" s="71" t="n"/>
      <c r="E133" s="160" t="n"/>
      <c r="F133" s="50" t="n"/>
      <c r="G133" s="70" t="n"/>
      <c r="H133" s="71" t="n"/>
      <c r="I133" s="73" t="n"/>
    </row>
    <row r="134" ht="18" customHeight="1">
      <c r="A134" s="157">
        <f>IF(B134&lt;&gt;"","MTO-"&amp;TEXT(ROW()-3,"000"),"")</f>
        <v/>
      </c>
      <c r="B134" s="56" t="n"/>
      <c r="C134" s="59" t="n"/>
      <c r="D134" s="59" t="n"/>
      <c r="E134" s="158" t="n"/>
      <c r="F134" s="50" t="n"/>
      <c r="G134" s="58" t="n"/>
      <c r="H134" s="59" t="n"/>
      <c r="I134" s="61" t="n"/>
    </row>
    <row r="135" ht="18" customHeight="1">
      <c r="A135" s="157">
        <f>IF(B135&lt;&gt;"","MTO-"&amp;TEXT(ROW()-3,"000"),"")</f>
        <v/>
      </c>
      <c r="B135" s="68" t="n"/>
      <c r="C135" s="71" t="n"/>
      <c r="D135" s="71" t="n"/>
      <c r="E135" s="160" t="n"/>
      <c r="F135" s="50" t="n"/>
      <c r="G135" s="70" t="n"/>
      <c r="H135" s="71" t="n"/>
      <c r="I135" s="73" t="n"/>
    </row>
    <row r="136" ht="18" customHeight="1">
      <c r="A136" s="157">
        <f>IF(B136&lt;&gt;"","MTO-"&amp;TEXT(ROW()-3,"000"),"")</f>
        <v/>
      </c>
      <c r="B136" s="56" t="n"/>
      <c r="C136" s="59" t="n"/>
      <c r="D136" s="59" t="n"/>
      <c r="E136" s="158" t="n"/>
      <c r="F136" s="50" t="n"/>
      <c r="G136" s="58" t="n"/>
      <c r="H136" s="59" t="n"/>
      <c r="I136" s="61" t="n"/>
    </row>
    <row r="137" ht="18" customHeight="1">
      <c r="A137" s="157">
        <f>IF(B137&lt;&gt;"","MTO-"&amp;TEXT(ROW()-3,"000"),"")</f>
        <v/>
      </c>
      <c r="B137" s="68" t="n"/>
      <c r="C137" s="71" t="n"/>
      <c r="D137" s="71" t="n"/>
      <c r="E137" s="160" t="n"/>
      <c r="F137" s="50" t="n"/>
      <c r="G137" s="70" t="n"/>
      <c r="H137" s="71" t="n"/>
      <c r="I137" s="73" t="n"/>
    </row>
    <row r="138" ht="18" customHeight="1">
      <c r="A138" s="157">
        <f>IF(B138&lt;&gt;"","MTO-"&amp;TEXT(ROW()-3,"000"),"")</f>
        <v/>
      </c>
      <c r="B138" s="56" t="n"/>
      <c r="C138" s="59" t="n"/>
      <c r="D138" s="59" t="n"/>
      <c r="E138" s="158" t="n"/>
      <c r="F138" s="50" t="n"/>
      <c r="G138" s="58" t="n"/>
      <c r="H138" s="59" t="n"/>
      <c r="I138" s="61" t="n"/>
    </row>
    <row r="139" ht="18" customHeight="1">
      <c r="A139" s="157">
        <f>IF(B139&lt;&gt;"","MTO-"&amp;TEXT(ROW()-3,"000"),"")</f>
        <v/>
      </c>
      <c r="B139" s="68" t="n"/>
      <c r="C139" s="71" t="n"/>
      <c r="D139" s="71" t="n"/>
      <c r="E139" s="160" t="n"/>
      <c r="F139" s="50" t="n"/>
      <c r="G139" s="70" t="n"/>
      <c r="H139" s="71" t="n"/>
      <c r="I139" s="73" t="n"/>
    </row>
    <row r="140" ht="18" customHeight="1">
      <c r="A140" s="157">
        <f>IF(B140&lt;&gt;"","MTO-"&amp;TEXT(ROW()-3,"000"),"")</f>
        <v/>
      </c>
      <c r="B140" s="56" t="n"/>
      <c r="C140" s="59" t="n"/>
      <c r="D140" s="59" t="n"/>
      <c r="E140" s="158" t="n"/>
      <c r="F140" s="50" t="n"/>
      <c r="G140" s="58" t="n"/>
      <c r="H140" s="59" t="n"/>
      <c r="I140" s="61" t="n"/>
    </row>
    <row r="141" ht="18" customHeight="1">
      <c r="A141" s="157">
        <f>IF(B141&lt;&gt;"","MTO-"&amp;TEXT(ROW()-3,"000"),"")</f>
        <v/>
      </c>
      <c r="B141" s="68" t="n"/>
      <c r="C141" s="71" t="n"/>
      <c r="D141" s="71" t="n"/>
      <c r="E141" s="160" t="n"/>
      <c r="F141" s="50" t="n"/>
      <c r="G141" s="70" t="n"/>
      <c r="H141" s="71" t="n"/>
      <c r="I141" s="73" t="n"/>
    </row>
    <row r="142" ht="18" customHeight="1">
      <c r="A142" s="157">
        <f>IF(B142&lt;&gt;"","MTO-"&amp;TEXT(ROW()-3,"000"),"")</f>
        <v/>
      </c>
      <c r="B142" s="56" t="n"/>
      <c r="C142" s="59" t="n"/>
      <c r="D142" s="59" t="n"/>
      <c r="E142" s="158" t="n"/>
      <c r="F142" s="50" t="n"/>
      <c r="G142" s="58" t="n"/>
      <c r="H142" s="59" t="n"/>
      <c r="I142" s="61" t="n"/>
    </row>
    <row r="143" ht="18" customHeight="1">
      <c r="A143" s="157">
        <f>IF(B143&lt;&gt;"","MTO-"&amp;TEXT(ROW()-3,"000"),"")</f>
        <v/>
      </c>
      <c r="B143" s="68" t="n"/>
      <c r="C143" s="71" t="n"/>
      <c r="D143" s="71" t="n"/>
      <c r="E143" s="160" t="n"/>
      <c r="F143" s="50" t="n"/>
      <c r="G143" s="70" t="n"/>
      <c r="H143" s="71" t="n"/>
      <c r="I143" s="73" t="n"/>
    </row>
    <row r="144" ht="18" customHeight="1">
      <c r="A144" s="157">
        <f>IF(B144&lt;&gt;"","MTO-"&amp;TEXT(ROW()-3,"000"),"")</f>
        <v/>
      </c>
      <c r="B144" s="56" t="n"/>
      <c r="C144" s="59" t="n"/>
      <c r="D144" s="59" t="n"/>
      <c r="E144" s="158" t="n"/>
      <c r="F144" s="50" t="n"/>
      <c r="G144" s="58" t="n"/>
      <c r="H144" s="59" t="n"/>
      <c r="I144" s="61" t="n"/>
    </row>
    <row r="145" ht="18" customHeight="1">
      <c r="A145" s="157">
        <f>IF(B145&lt;&gt;"","MTO-"&amp;TEXT(ROW()-3,"000"),"")</f>
        <v/>
      </c>
      <c r="B145" s="68" t="n"/>
      <c r="C145" s="71" t="n"/>
      <c r="D145" s="71" t="n"/>
      <c r="E145" s="160" t="n"/>
      <c r="F145" s="50" t="n"/>
      <c r="G145" s="70" t="n"/>
      <c r="H145" s="71" t="n"/>
      <c r="I145" s="73" t="n"/>
    </row>
    <row r="146" ht="18" customHeight="1">
      <c r="A146" s="157">
        <f>IF(B146&lt;&gt;"","MTO-"&amp;TEXT(ROW()-3,"000"),"")</f>
        <v/>
      </c>
      <c r="B146" s="56" t="n"/>
      <c r="C146" s="59" t="n"/>
      <c r="D146" s="59" t="n"/>
      <c r="E146" s="158" t="n"/>
      <c r="F146" s="50" t="n"/>
      <c r="G146" s="58" t="n"/>
      <c r="H146" s="59" t="n"/>
      <c r="I146" s="61" t="n"/>
    </row>
    <row r="147" ht="18" customHeight="1">
      <c r="A147" s="157">
        <f>IF(B147&lt;&gt;"","MTO-"&amp;TEXT(ROW()-3,"000"),"")</f>
        <v/>
      </c>
      <c r="B147" s="68" t="n"/>
      <c r="C147" s="71" t="n"/>
      <c r="D147" s="71" t="n"/>
      <c r="E147" s="160" t="n"/>
      <c r="F147" s="50" t="n"/>
      <c r="G147" s="70" t="n"/>
      <c r="H147" s="71" t="n"/>
      <c r="I147" s="73" t="n"/>
    </row>
    <row r="148" ht="18" customHeight="1">
      <c r="A148" s="157">
        <f>IF(B148&lt;&gt;"","MTO-"&amp;TEXT(ROW()-3,"000"),"")</f>
        <v/>
      </c>
      <c r="B148" s="56" t="n"/>
      <c r="C148" s="59" t="n"/>
      <c r="D148" s="59" t="n"/>
      <c r="E148" s="158" t="n"/>
      <c r="F148" s="50" t="n"/>
      <c r="G148" s="58" t="n"/>
      <c r="H148" s="59" t="n"/>
      <c r="I148" s="61" t="n"/>
    </row>
    <row r="149" ht="18" customHeight="1">
      <c r="A149" s="157">
        <f>IF(B149&lt;&gt;"","MTO-"&amp;TEXT(ROW()-3,"000"),"")</f>
        <v/>
      </c>
      <c r="B149" s="68" t="n"/>
      <c r="C149" s="71" t="n"/>
      <c r="D149" s="71" t="n"/>
      <c r="E149" s="160" t="n"/>
      <c r="F149" s="50" t="n"/>
      <c r="G149" s="70" t="n"/>
      <c r="H149" s="71" t="n"/>
      <c r="I149" s="73" t="n"/>
    </row>
    <row r="150" ht="18" customHeight="1">
      <c r="A150" s="157">
        <f>IF(B150&lt;&gt;"","MTO-"&amp;TEXT(ROW()-3,"000"),"")</f>
        <v/>
      </c>
      <c r="B150" s="56" t="n"/>
      <c r="C150" s="59" t="n"/>
      <c r="D150" s="59" t="n"/>
      <c r="E150" s="158" t="n"/>
      <c r="F150" s="50" t="n"/>
      <c r="G150" s="58" t="n"/>
      <c r="H150" s="59" t="n"/>
      <c r="I150" s="61" t="n"/>
    </row>
    <row r="151" ht="18" customHeight="1">
      <c r="A151" s="157">
        <f>IF(B151&lt;&gt;"","MTO-"&amp;TEXT(ROW()-3,"000"),"")</f>
        <v/>
      </c>
      <c r="B151" s="68" t="n"/>
      <c r="C151" s="71" t="n"/>
      <c r="D151" s="71" t="n"/>
      <c r="E151" s="160" t="n"/>
      <c r="F151" s="50" t="n"/>
      <c r="G151" s="70" t="n"/>
      <c r="H151" s="71" t="n"/>
      <c r="I151" s="73" t="n"/>
    </row>
    <row r="152" ht="18" customHeight="1">
      <c r="A152" s="157">
        <f>IF(B152&lt;&gt;"","MTO-"&amp;TEXT(ROW()-3,"000"),"")</f>
        <v/>
      </c>
      <c r="B152" s="56" t="n"/>
      <c r="C152" s="59" t="n"/>
      <c r="D152" s="59" t="n"/>
      <c r="E152" s="158" t="n"/>
      <c r="F152" s="50" t="n"/>
      <c r="G152" s="58" t="n"/>
      <c r="H152" s="59" t="n"/>
      <c r="I152" s="61" t="n"/>
    </row>
    <row r="153" ht="18" customHeight="1">
      <c r="A153" s="157">
        <f>IF(B153&lt;&gt;"","MTO-"&amp;TEXT(ROW()-3,"000"),"")</f>
        <v/>
      </c>
      <c r="B153" s="68" t="n"/>
      <c r="C153" s="71" t="n"/>
      <c r="D153" s="71" t="n"/>
      <c r="E153" s="160" t="n"/>
      <c r="F153" s="50" t="n"/>
      <c r="G153" s="70" t="n"/>
      <c r="H153" s="71" t="n"/>
      <c r="I153" s="73" t="n"/>
    </row>
    <row r="154" ht="18" customHeight="1">
      <c r="A154" s="157">
        <f>IF(B154&lt;&gt;"","MTO-"&amp;TEXT(ROW()-3,"000"),"")</f>
        <v/>
      </c>
      <c r="B154" s="56" t="n"/>
      <c r="C154" s="59" t="n"/>
      <c r="D154" s="59" t="n"/>
      <c r="E154" s="158" t="n"/>
      <c r="F154" s="50" t="n"/>
      <c r="G154" s="58" t="n"/>
      <c r="H154" s="59" t="n"/>
      <c r="I154" s="61" t="n"/>
    </row>
    <row r="155" ht="18" customHeight="1">
      <c r="A155" s="157">
        <f>IF(B155&lt;&gt;"","MTO-"&amp;TEXT(ROW()-3,"000"),"")</f>
        <v/>
      </c>
      <c r="B155" s="68" t="n"/>
      <c r="C155" s="71" t="n"/>
      <c r="D155" s="71" t="n"/>
      <c r="E155" s="160" t="n"/>
      <c r="F155" s="50" t="n"/>
      <c r="G155" s="70" t="n"/>
      <c r="H155" s="71" t="n"/>
      <c r="I155" s="73" t="n"/>
    </row>
    <row r="156" ht="18" customHeight="1">
      <c r="A156" s="157">
        <f>IF(B156&lt;&gt;"","MTO-"&amp;TEXT(ROW()-3,"000"),"")</f>
        <v/>
      </c>
      <c r="B156" s="56" t="n"/>
      <c r="C156" s="59" t="n"/>
      <c r="D156" s="59" t="n"/>
      <c r="E156" s="158" t="n"/>
      <c r="F156" s="50" t="n"/>
      <c r="G156" s="58" t="n"/>
      <c r="H156" s="59" t="n"/>
      <c r="I156" s="61" t="n"/>
    </row>
    <row r="157" ht="18" customHeight="1">
      <c r="A157" s="157">
        <f>IF(B157&lt;&gt;"","MTO-"&amp;TEXT(ROW()-3,"000"),"")</f>
        <v/>
      </c>
      <c r="B157" s="68" t="n"/>
      <c r="C157" s="71" t="n"/>
      <c r="D157" s="71" t="n"/>
      <c r="E157" s="160" t="n"/>
      <c r="F157" s="50" t="n"/>
      <c r="G157" s="70" t="n"/>
      <c r="H157" s="71" t="n"/>
      <c r="I157" s="73" t="n"/>
    </row>
    <row r="158" ht="18" customHeight="1">
      <c r="A158" s="157">
        <f>IF(B158&lt;&gt;"","MTO-"&amp;TEXT(ROW()-3,"000"),"")</f>
        <v/>
      </c>
      <c r="B158" s="56" t="n"/>
      <c r="C158" s="59" t="n"/>
      <c r="D158" s="59" t="n"/>
      <c r="E158" s="158" t="n"/>
      <c r="F158" s="50" t="n"/>
      <c r="G158" s="58" t="n"/>
      <c r="H158" s="59" t="n"/>
      <c r="I158" s="61" t="n"/>
    </row>
    <row r="159" ht="18" customHeight="1">
      <c r="A159" s="157">
        <f>IF(B159&lt;&gt;"","MTO-"&amp;TEXT(ROW()-3,"000"),"")</f>
        <v/>
      </c>
      <c r="B159" s="68" t="n"/>
      <c r="C159" s="71" t="n"/>
      <c r="D159" s="71" t="n"/>
      <c r="E159" s="160" t="n"/>
      <c r="F159" s="50" t="n"/>
      <c r="G159" s="70" t="n"/>
      <c r="H159" s="71" t="n"/>
      <c r="I159" s="73" t="n"/>
    </row>
    <row r="160" ht="18" customHeight="1">
      <c r="A160" s="157">
        <f>IF(B160&lt;&gt;"","MTO-"&amp;TEXT(ROW()-3,"000"),"")</f>
        <v/>
      </c>
      <c r="B160" s="56" t="n"/>
      <c r="C160" s="59" t="n"/>
      <c r="D160" s="59" t="n"/>
      <c r="E160" s="158" t="n"/>
      <c r="F160" s="50" t="n"/>
      <c r="G160" s="58" t="n"/>
      <c r="H160" s="59" t="n"/>
      <c r="I160" s="61" t="n"/>
    </row>
    <row r="161" ht="18" customHeight="1">
      <c r="A161" s="157">
        <f>IF(B161&lt;&gt;"","MTO-"&amp;TEXT(ROW()-3,"000"),"")</f>
        <v/>
      </c>
      <c r="B161" s="68" t="n"/>
      <c r="C161" s="71" t="n"/>
      <c r="D161" s="71" t="n"/>
      <c r="E161" s="160" t="n"/>
      <c r="F161" s="50" t="n"/>
      <c r="G161" s="70" t="n"/>
      <c r="H161" s="71" t="n"/>
      <c r="I161" s="73" t="n"/>
    </row>
    <row r="162" ht="18" customHeight="1">
      <c r="A162" s="157">
        <f>IF(B162&lt;&gt;"","MTO-"&amp;TEXT(ROW()-3,"000"),"")</f>
        <v/>
      </c>
      <c r="B162" s="56" t="n"/>
      <c r="C162" s="59" t="n"/>
      <c r="D162" s="59" t="n"/>
      <c r="E162" s="158" t="n"/>
      <c r="F162" s="50" t="n"/>
      <c r="G162" s="58" t="n"/>
      <c r="H162" s="59" t="n"/>
      <c r="I162" s="61" t="n"/>
    </row>
    <row r="163" ht="18" customHeight="1">
      <c r="A163" s="157">
        <f>IF(B163&lt;&gt;"","MTO-"&amp;TEXT(ROW()-3,"000"),"")</f>
        <v/>
      </c>
      <c r="B163" s="68" t="n"/>
      <c r="C163" s="71" t="n"/>
      <c r="D163" s="71" t="n"/>
      <c r="E163" s="160" t="n"/>
      <c r="F163" s="50" t="n"/>
      <c r="G163" s="70" t="n"/>
      <c r="H163" s="71" t="n"/>
      <c r="I163" s="73" t="n"/>
    </row>
    <row r="164" ht="18" customHeight="1">
      <c r="A164" s="157">
        <f>IF(B164&lt;&gt;"","MTO-"&amp;TEXT(ROW()-3,"000"),"")</f>
        <v/>
      </c>
      <c r="B164" s="56" t="n"/>
      <c r="C164" s="59" t="n"/>
      <c r="D164" s="59" t="n"/>
      <c r="E164" s="158" t="n"/>
      <c r="F164" s="50" t="n"/>
      <c r="G164" s="58" t="n"/>
      <c r="H164" s="59" t="n"/>
      <c r="I164" s="61" t="n"/>
    </row>
    <row r="165" ht="18" customHeight="1">
      <c r="A165" s="157">
        <f>IF(B165&lt;&gt;"","MTO-"&amp;TEXT(ROW()-3,"000"),"")</f>
        <v/>
      </c>
      <c r="B165" s="68" t="n"/>
      <c r="C165" s="71" t="n"/>
      <c r="D165" s="71" t="n"/>
      <c r="E165" s="160" t="n"/>
      <c r="F165" s="50" t="n"/>
      <c r="G165" s="70" t="n"/>
      <c r="H165" s="71" t="n"/>
      <c r="I165" s="73" t="n"/>
    </row>
    <row r="166" ht="18" customHeight="1">
      <c r="A166" s="157">
        <f>IF(B166&lt;&gt;"","MTO-"&amp;TEXT(ROW()-3,"000"),"")</f>
        <v/>
      </c>
      <c r="B166" s="56" t="n"/>
      <c r="C166" s="59" t="n"/>
      <c r="D166" s="59" t="n"/>
      <c r="E166" s="158" t="n"/>
      <c r="F166" s="50" t="n"/>
      <c r="G166" s="58" t="n"/>
      <c r="H166" s="59" t="n"/>
      <c r="I166" s="61" t="n"/>
    </row>
    <row r="167" ht="18" customHeight="1">
      <c r="A167" s="157">
        <f>IF(B167&lt;&gt;"","MTO-"&amp;TEXT(ROW()-3,"000"),"")</f>
        <v/>
      </c>
      <c r="B167" s="68" t="n"/>
      <c r="C167" s="71" t="n"/>
      <c r="D167" s="71" t="n"/>
      <c r="E167" s="160" t="n"/>
      <c r="F167" s="50" t="n"/>
      <c r="G167" s="70" t="n"/>
      <c r="H167" s="71" t="n"/>
      <c r="I167" s="73" t="n"/>
    </row>
    <row r="168" ht="18" customHeight="1">
      <c r="A168" s="157">
        <f>IF(B168&lt;&gt;"","MTO-"&amp;TEXT(ROW()-3,"000"),"")</f>
        <v/>
      </c>
      <c r="B168" s="56" t="n"/>
      <c r="C168" s="59" t="n"/>
      <c r="D168" s="59" t="n"/>
      <c r="E168" s="158" t="n"/>
      <c r="F168" s="50" t="n"/>
      <c r="G168" s="58" t="n"/>
      <c r="H168" s="59" t="n"/>
      <c r="I168" s="61" t="n"/>
    </row>
    <row r="169" ht="18" customHeight="1">
      <c r="A169" s="157">
        <f>IF(B169&lt;&gt;"","MTO-"&amp;TEXT(ROW()-3,"000"),"")</f>
        <v/>
      </c>
      <c r="B169" s="68" t="n"/>
      <c r="C169" s="71" t="n"/>
      <c r="D169" s="71" t="n"/>
      <c r="E169" s="160" t="n"/>
      <c r="F169" s="50" t="n"/>
      <c r="G169" s="70" t="n"/>
      <c r="H169" s="71" t="n"/>
      <c r="I169" s="73" t="n"/>
    </row>
    <row r="170" ht="18" customHeight="1">
      <c r="A170" s="157">
        <f>IF(B170&lt;&gt;"","MTO-"&amp;TEXT(ROW()-3,"000"),"")</f>
        <v/>
      </c>
      <c r="B170" s="56" t="n"/>
      <c r="C170" s="59" t="n"/>
      <c r="D170" s="59" t="n"/>
      <c r="E170" s="158" t="n"/>
      <c r="F170" s="50" t="n"/>
      <c r="G170" s="58" t="n"/>
      <c r="H170" s="59" t="n"/>
      <c r="I170" s="61" t="n"/>
    </row>
    <row r="171" ht="18" customHeight="1">
      <c r="A171" s="157">
        <f>IF(B171&lt;&gt;"","MTO-"&amp;TEXT(ROW()-3,"000"),"")</f>
        <v/>
      </c>
      <c r="B171" s="68" t="n"/>
      <c r="C171" s="71" t="n"/>
      <c r="D171" s="71" t="n"/>
      <c r="E171" s="160" t="n"/>
      <c r="F171" s="50" t="n"/>
      <c r="G171" s="70" t="n"/>
      <c r="H171" s="71" t="n"/>
      <c r="I171" s="73" t="n"/>
    </row>
    <row r="172" ht="18" customHeight="1">
      <c r="A172" s="157">
        <f>IF(B172&lt;&gt;"","MTO-"&amp;TEXT(ROW()-3,"000"),"")</f>
        <v/>
      </c>
      <c r="B172" s="56" t="n"/>
      <c r="C172" s="59" t="n"/>
      <c r="D172" s="59" t="n"/>
      <c r="E172" s="158" t="n"/>
      <c r="F172" s="50" t="n"/>
      <c r="G172" s="58" t="n"/>
      <c r="H172" s="59" t="n"/>
      <c r="I172" s="61" t="n"/>
    </row>
    <row r="173" ht="18" customHeight="1">
      <c r="A173" s="157">
        <f>IF(B173&lt;&gt;"","MTO-"&amp;TEXT(ROW()-3,"000"),"")</f>
        <v/>
      </c>
      <c r="B173" s="68" t="n"/>
      <c r="C173" s="71" t="n"/>
      <c r="D173" s="71" t="n"/>
      <c r="E173" s="160" t="n"/>
      <c r="F173" s="50" t="n"/>
      <c r="G173" s="70" t="n"/>
      <c r="H173" s="71" t="n"/>
      <c r="I173" s="73" t="n"/>
    </row>
    <row r="174" ht="18" customHeight="1">
      <c r="A174" s="157">
        <f>IF(B174&lt;&gt;"","MTO-"&amp;TEXT(ROW()-3,"000"),"")</f>
        <v/>
      </c>
      <c r="B174" s="56" t="n"/>
      <c r="C174" s="59" t="n"/>
      <c r="D174" s="59" t="n"/>
      <c r="E174" s="158" t="n"/>
      <c r="F174" s="50" t="n"/>
      <c r="G174" s="58" t="n"/>
      <c r="H174" s="59" t="n"/>
      <c r="I174" s="61" t="n"/>
    </row>
    <row r="175" ht="18" customHeight="1">
      <c r="A175" s="157">
        <f>IF(B175&lt;&gt;"","MTO-"&amp;TEXT(ROW()-3,"000"),"")</f>
        <v/>
      </c>
      <c r="B175" s="68" t="n"/>
      <c r="C175" s="71" t="n"/>
      <c r="D175" s="71" t="n"/>
      <c r="E175" s="160" t="n"/>
      <c r="F175" s="50" t="n"/>
      <c r="G175" s="70" t="n"/>
      <c r="H175" s="71" t="n"/>
      <c r="I175" s="73" t="n"/>
    </row>
    <row r="176" ht="18" customHeight="1">
      <c r="A176" s="157">
        <f>IF(B176&lt;&gt;"","MTO-"&amp;TEXT(ROW()-3,"000"),"")</f>
        <v/>
      </c>
      <c r="B176" s="56" t="n"/>
      <c r="C176" s="59" t="n"/>
      <c r="D176" s="59" t="n"/>
      <c r="E176" s="158" t="n"/>
      <c r="F176" s="50" t="n"/>
      <c r="G176" s="58" t="n"/>
      <c r="H176" s="59" t="n"/>
      <c r="I176" s="61" t="n"/>
    </row>
    <row r="177" ht="18" customHeight="1">
      <c r="A177" s="157">
        <f>IF(B177&lt;&gt;"","MTO-"&amp;TEXT(ROW()-3,"000"),"")</f>
        <v/>
      </c>
      <c r="B177" s="68" t="n"/>
      <c r="C177" s="71" t="n"/>
      <c r="D177" s="71" t="n"/>
      <c r="E177" s="160" t="n"/>
      <c r="F177" s="50" t="n"/>
      <c r="G177" s="70" t="n"/>
      <c r="H177" s="71" t="n"/>
      <c r="I177" s="73" t="n"/>
    </row>
    <row r="178" ht="18" customHeight="1">
      <c r="A178" s="157">
        <f>IF(B178&lt;&gt;"","MTO-"&amp;TEXT(ROW()-3,"000"),"")</f>
        <v/>
      </c>
      <c r="B178" s="56" t="n"/>
      <c r="C178" s="59" t="n"/>
      <c r="D178" s="59" t="n"/>
      <c r="E178" s="158" t="n"/>
      <c r="F178" s="50" t="n"/>
      <c r="G178" s="58" t="n"/>
      <c r="H178" s="59" t="n"/>
      <c r="I178" s="61" t="n"/>
    </row>
    <row r="179" ht="18" customHeight="1">
      <c r="A179" s="157">
        <f>IF(B179&lt;&gt;"","MTO-"&amp;TEXT(ROW()-3,"000"),"")</f>
        <v/>
      </c>
      <c r="B179" s="68" t="n"/>
      <c r="C179" s="71" t="n"/>
      <c r="D179" s="71" t="n"/>
      <c r="E179" s="160" t="n"/>
      <c r="F179" s="50" t="n"/>
      <c r="G179" s="70" t="n"/>
      <c r="H179" s="71" t="n"/>
      <c r="I179" s="73" t="n"/>
    </row>
    <row r="180" ht="18" customHeight="1">
      <c r="A180" s="157">
        <f>IF(B180&lt;&gt;"","MTO-"&amp;TEXT(ROW()-3,"000"),"")</f>
        <v/>
      </c>
      <c r="B180" s="56" t="n"/>
      <c r="C180" s="59" t="n"/>
      <c r="D180" s="59" t="n"/>
      <c r="E180" s="158" t="n"/>
      <c r="F180" s="50" t="n"/>
      <c r="G180" s="58" t="n"/>
      <c r="H180" s="59" t="n"/>
      <c r="I180" s="61" t="n"/>
    </row>
    <row r="181" ht="18" customHeight="1">
      <c r="A181" s="157">
        <f>IF(B181&lt;&gt;"","MTO-"&amp;TEXT(ROW()-3,"000"),"")</f>
        <v/>
      </c>
      <c r="B181" s="68" t="n"/>
      <c r="C181" s="71" t="n"/>
      <c r="D181" s="71" t="n"/>
      <c r="E181" s="160" t="n"/>
      <c r="F181" s="50" t="n"/>
      <c r="G181" s="70" t="n"/>
      <c r="H181" s="71" t="n"/>
      <c r="I181" s="73" t="n"/>
    </row>
    <row r="182" ht="18" customHeight="1">
      <c r="A182" s="157">
        <f>IF(B182&lt;&gt;"","MTO-"&amp;TEXT(ROW()-3,"000"),"")</f>
        <v/>
      </c>
      <c r="B182" s="56" t="n"/>
      <c r="C182" s="59" t="n"/>
      <c r="D182" s="59" t="n"/>
      <c r="E182" s="158" t="n"/>
      <c r="F182" s="50" t="n"/>
      <c r="G182" s="58" t="n"/>
      <c r="H182" s="59" t="n"/>
      <c r="I182" s="61" t="n"/>
    </row>
    <row r="183" ht="18" customHeight="1">
      <c r="A183" s="157">
        <f>IF(B183&lt;&gt;"","MTO-"&amp;TEXT(ROW()-3,"000"),"")</f>
        <v/>
      </c>
      <c r="B183" s="68" t="n"/>
      <c r="C183" s="71" t="n"/>
      <c r="D183" s="71" t="n"/>
      <c r="E183" s="160" t="n"/>
      <c r="F183" s="50" t="n"/>
      <c r="G183" s="70" t="n"/>
      <c r="H183" s="71" t="n"/>
      <c r="I183" s="73" t="n"/>
    </row>
    <row r="184" ht="18" customHeight="1">
      <c r="A184" s="157">
        <f>IF(B184&lt;&gt;"","MTO-"&amp;TEXT(ROW()-3,"000"),"")</f>
        <v/>
      </c>
      <c r="B184" s="56" t="n"/>
      <c r="C184" s="59" t="n"/>
      <c r="D184" s="59" t="n"/>
      <c r="E184" s="158" t="n"/>
      <c r="F184" s="50" t="n"/>
      <c r="G184" s="58" t="n"/>
      <c r="H184" s="59" t="n"/>
      <c r="I184" s="61" t="n"/>
    </row>
    <row r="185" ht="18" customHeight="1">
      <c r="A185" s="157">
        <f>IF(B185&lt;&gt;"","MTO-"&amp;TEXT(ROW()-3,"000"),"")</f>
        <v/>
      </c>
      <c r="B185" s="68" t="n"/>
      <c r="C185" s="71" t="n"/>
      <c r="D185" s="71" t="n"/>
      <c r="E185" s="160" t="n"/>
      <c r="F185" s="50" t="n"/>
      <c r="G185" s="70" t="n"/>
      <c r="H185" s="71" t="n"/>
      <c r="I185" s="73" t="n"/>
    </row>
    <row r="186" ht="18" customHeight="1">
      <c r="A186" s="157">
        <f>IF(B186&lt;&gt;"","MTO-"&amp;TEXT(ROW()-3,"000"),"")</f>
        <v/>
      </c>
      <c r="B186" s="56" t="n"/>
      <c r="C186" s="59" t="n"/>
      <c r="D186" s="59" t="n"/>
      <c r="E186" s="158" t="n"/>
      <c r="F186" s="50" t="n"/>
      <c r="G186" s="58" t="n"/>
      <c r="H186" s="59" t="n"/>
      <c r="I186" s="61" t="n"/>
    </row>
    <row r="187" ht="18" customHeight="1">
      <c r="A187" s="157">
        <f>IF(B187&lt;&gt;"","MTO-"&amp;TEXT(ROW()-3,"000"),"")</f>
        <v/>
      </c>
      <c r="B187" s="68" t="n"/>
      <c r="C187" s="71" t="n"/>
      <c r="D187" s="71" t="n"/>
      <c r="E187" s="160" t="n"/>
      <c r="F187" s="50" t="n"/>
      <c r="G187" s="70" t="n"/>
      <c r="H187" s="71" t="n"/>
      <c r="I187" s="73" t="n"/>
    </row>
    <row r="188" ht="18" customHeight="1">
      <c r="A188" s="157">
        <f>IF(B188&lt;&gt;"","MTO-"&amp;TEXT(ROW()-3,"000"),"")</f>
        <v/>
      </c>
      <c r="B188" s="56" t="n"/>
      <c r="C188" s="59" t="n"/>
      <c r="D188" s="59" t="n"/>
      <c r="E188" s="158" t="n"/>
      <c r="F188" s="50" t="n"/>
      <c r="G188" s="58" t="n"/>
      <c r="H188" s="59" t="n"/>
      <c r="I188" s="61" t="n"/>
    </row>
    <row r="189" ht="18" customHeight="1">
      <c r="A189" s="157">
        <f>IF(B189&lt;&gt;"","MTO-"&amp;TEXT(ROW()-3,"000"),"")</f>
        <v/>
      </c>
      <c r="B189" s="68" t="n"/>
      <c r="C189" s="71" t="n"/>
      <c r="D189" s="71" t="n"/>
      <c r="E189" s="160" t="n"/>
      <c r="F189" s="50" t="n"/>
      <c r="G189" s="70" t="n"/>
      <c r="H189" s="71" t="n"/>
      <c r="I189" s="73" t="n"/>
    </row>
    <row r="190" ht="18" customHeight="1">
      <c r="A190" s="157">
        <f>IF(B190&lt;&gt;"","MTO-"&amp;TEXT(ROW()-3,"000"),"")</f>
        <v/>
      </c>
      <c r="B190" s="56" t="n"/>
      <c r="C190" s="59" t="n"/>
      <c r="D190" s="59" t="n"/>
      <c r="E190" s="158" t="n"/>
      <c r="F190" s="50" t="n"/>
      <c r="G190" s="58" t="n"/>
      <c r="H190" s="59" t="n"/>
      <c r="I190" s="61" t="n"/>
    </row>
    <row r="191" ht="18" customHeight="1">
      <c r="A191" s="157">
        <f>IF(B191&lt;&gt;"","MTO-"&amp;TEXT(ROW()-3,"000"),"")</f>
        <v/>
      </c>
      <c r="B191" s="68" t="n"/>
      <c r="C191" s="71" t="n"/>
      <c r="D191" s="71" t="n"/>
      <c r="E191" s="160" t="n"/>
      <c r="F191" s="50" t="n"/>
      <c r="G191" s="70" t="n"/>
      <c r="H191" s="71" t="n"/>
      <c r="I191" s="73" t="n"/>
    </row>
    <row r="192" ht="18" customHeight="1">
      <c r="A192" s="157">
        <f>IF(B192&lt;&gt;"","MTO-"&amp;TEXT(ROW()-3,"000"),"")</f>
        <v/>
      </c>
      <c r="B192" s="56" t="n"/>
      <c r="C192" s="59" t="n"/>
      <c r="D192" s="59" t="n"/>
      <c r="E192" s="158" t="n"/>
      <c r="F192" s="50" t="n"/>
      <c r="G192" s="58" t="n"/>
      <c r="H192" s="59" t="n"/>
      <c r="I192" s="61" t="n"/>
    </row>
    <row r="193" ht="18" customHeight="1">
      <c r="A193" s="157">
        <f>IF(B193&lt;&gt;"","MTO-"&amp;TEXT(ROW()-3,"000"),"")</f>
        <v/>
      </c>
      <c r="B193" s="68" t="n"/>
      <c r="C193" s="71" t="n"/>
      <c r="D193" s="71" t="n"/>
      <c r="E193" s="160" t="n"/>
      <c r="F193" s="50" t="n"/>
      <c r="G193" s="70" t="n"/>
      <c r="H193" s="71" t="n"/>
      <c r="I193" s="73" t="n"/>
    </row>
    <row r="194" ht="18" customHeight="1">
      <c r="A194" s="157">
        <f>IF(B194&lt;&gt;"","MTO-"&amp;TEXT(ROW()-3,"000"),"")</f>
        <v/>
      </c>
      <c r="B194" s="56" t="n"/>
      <c r="C194" s="59" t="n"/>
      <c r="D194" s="59" t="n"/>
      <c r="E194" s="158" t="n"/>
      <c r="F194" s="50" t="n"/>
      <c r="G194" s="58" t="n"/>
      <c r="H194" s="59" t="n"/>
      <c r="I194" s="61" t="n"/>
    </row>
    <row r="195" ht="18" customHeight="1">
      <c r="A195" s="157">
        <f>IF(B195&lt;&gt;"","MTO-"&amp;TEXT(ROW()-3,"000"),"")</f>
        <v/>
      </c>
      <c r="B195" s="68" t="n"/>
      <c r="C195" s="71" t="n"/>
      <c r="D195" s="71" t="n"/>
      <c r="E195" s="160" t="n"/>
      <c r="F195" s="50" t="n"/>
      <c r="G195" s="70" t="n"/>
      <c r="H195" s="71" t="n"/>
      <c r="I195" s="73" t="n"/>
    </row>
    <row r="196" ht="18" customHeight="1">
      <c r="A196" s="157">
        <f>IF(B196&lt;&gt;"","MTO-"&amp;TEXT(ROW()-3,"000"),"")</f>
        <v/>
      </c>
      <c r="B196" s="56" t="n"/>
      <c r="C196" s="59" t="n"/>
      <c r="D196" s="59" t="n"/>
      <c r="E196" s="158" t="n"/>
      <c r="F196" s="50" t="n"/>
      <c r="G196" s="58" t="n"/>
      <c r="H196" s="59" t="n"/>
      <c r="I196" s="61" t="n"/>
    </row>
    <row r="197" ht="18" customHeight="1">
      <c r="A197" s="157">
        <f>IF(B197&lt;&gt;"","MTO-"&amp;TEXT(ROW()-3,"000"),"")</f>
        <v/>
      </c>
      <c r="B197" s="68" t="n"/>
      <c r="C197" s="71" t="n"/>
      <c r="D197" s="71" t="n"/>
      <c r="E197" s="160" t="n"/>
      <c r="F197" s="50" t="n"/>
      <c r="G197" s="70" t="n"/>
      <c r="H197" s="71" t="n"/>
      <c r="I197" s="73" t="n"/>
    </row>
    <row r="198" ht="18" customHeight="1">
      <c r="A198" s="157">
        <f>IF(B198&lt;&gt;"","MTO-"&amp;TEXT(ROW()-3,"000"),"")</f>
        <v/>
      </c>
      <c r="B198" s="56" t="n"/>
      <c r="C198" s="59" t="n"/>
      <c r="D198" s="59" t="n"/>
      <c r="E198" s="158" t="n"/>
      <c r="F198" s="50" t="n"/>
      <c r="G198" s="58" t="n"/>
      <c r="H198" s="59" t="n"/>
      <c r="I198" s="61" t="n"/>
    </row>
    <row r="199" ht="18" customHeight="1">
      <c r="A199" s="157">
        <f>IF(B199&lt;&gt;"","MTO-"&amp;TEXT(ROW()-3,"000"),"")</f>
        <v/>
      </c>
      <c r="B199" s="68" t="n"/>
      <c r="C199" s="71" t="n"/>
      <c r="D199" s="71" t="n"/>
      <c r="E199" s="160" t="n"/>
      <c r="F199" s="50" t="n"/>
      <c r="G199" s="70" t="n"/>
      <c r="H199" s="71" t="n"/>
      <c r="I199" s="73" t="n"/>
    </row>
    <row r="200" ht="18" customHeight="1">
      <c r="A200" s="157">
        <f>IF(B200&lt;&gt;"","MTO-"&amp;TEXT(ROW()-3,"000"),"")</f>
        <v/>
      </c>
      <c r="B200" s="56" t="n"/>
      <c r="C200" s="59" t="n"/>
      <c r="D200" s="59" t="n"/>
      <c r="E200" s="158" t="n"/>
      <c r="F200" s="50" t="n"/>
      <c r="G200" s="58" t="n"/>
      <c r="H200" s="59" t="n"/>
      <c r="I200" s="61" t="n"/>
    </row>
    <row r="201" ht="18" customHeight="1">
      <c r="A201" s="157">
        <f>IF(B201&lt;&gt;"","MTO-"&amp;TEXT(ROW()-3,"000"),"")</f>
        <v/>
      </c>
      <c r="B201" s="68" t="n"/>
      <c r="C201" s="71" t="n"/>
      <c r="D201" s="71" t="n"/>
      <c r="E201" s="160" t="n"/>
      <c r="F201" s="50" t="n"/>
      <c r="G201" s="70" t="n"/>
      <c r="H201" s="71" t="n"/>
      <c r="I201" s="73" t="n"/>
    </row>
    <row r="202" ht="18" customHeight="1">
      <c r="A202" s="157">
        <f>IF(B202&lt;&gt;"","MTO-"&amp;TEXT(ROW()-3,"000"),"")</f>
        <v/>
      </c>
      <c r="B202" s="56" t="n"/>
      <c r="C202" s="59" t="n"/>
      <c r="D202" s="59" t="n"/>
      <c r="E202" s="158" t="n"/>
      <c r="F202" s="50" t="n"/>
      <c r="G202" s="58" t="n"/>
      <c r="H202" s="59" t="n"/>
      <c r="I202" s="61" t="n"/>
    </row>
    <row r="203" ht="18" customHeight="1">
      <c r="A203" s="157">
        <f>IF(B203&lt;&gt;"","MTO-"&amp;TEXT(ROW()-3,"000"),"")</f>
        <v/>
      </c>
      <c r="B203" s="68" t="n"/>
      <c r="C203" s="71" t="n"/>
      <c r="D203" s="71" t="n"/>
      <c r="E203" s="160" t="n"/>
      <c r="F203" s="50" t="n"/>
      <c r="G203" s="70" t="n"/>
      <c r="H203" s="71" t="n"/>
      <c r="I203" s="73" t="n"/>
    </row>
    <row r="204" ht="18" customHeight="1">
      <c r="A204" s="157">
        <f>IF(B204&lt;&gt;"","MTO-"&amp;TEXT(ROW()-3,"000"),"")</f>
        <v/>
      </c>
      <c r="B204" s="56" t="n"/>
      <c r="C204" s="59" t="n"/>
      <c r="D204" s="59" t="n"/>
      <c r="E204" s="158" t="n"/>
      <c r="F204" s="50" t="n"/>
      <c r="G204" s="58" t="n"/>
      <c r="H204" s="59" t="n"/>
      <c r="I204" s="61" t="n"/>
    </row>
    <row r="205" ht="18" customHeight="1">
      <c r="A205" s="157">
        <f>IF(B205&lt;&gt;"","MTO-"&amp;TEXT(ROW()-3,"000"),"")</f>
        <v/>
      </c>
      <c r="B205" s="68" t="n"/>
      <c r="C205" s="71" t="n"/>
      <c r="D205" s="71" t="n"/>
      <c r="E205" s="160" t="n"/>
      <c r="F205" s="50" t="n"/>
      <c r="G205" s="70" t="n"/>
      <c r="H205" s="71" t="n"/>
      <c r="I205" s="73" t="n"/>
    </row>
    <row r="206" ht="18" customHeight="1">
      <c r="A206" s="157">
        <f>IF(B206&lt;&gt;"","MTO-"&amp;TEXT(ROW()-3,"000"),"")</f>
        <v/>
      </c>
      <c r="B206" s="56" t="n"/>
      <c r="C206" s="59" t="n"/>
      <c r="D206" s="59" t="n"/>
      <c r="E206" s="158" t="n"/>
      <c r="F206" s="50" t="n"/>
      <c r="G206" s="58" t="n"/>
      <c r="H206" s="59" t="n"/>
      <c r="I206" s="61" t="n"/>
    </row>
    <row r="207" ht="18" customHeight="1">
      <c r="A207" s="157">
        <f>IF(B207&lt;&gt;"","MTO-"&amp;TEXT(ROW()-3,"000"),"")</f>
        <v/>
      </c>
      <c r="B207" s="68" t="n"/>
      <c r="C207" s="71" t="n"/>
      <c r="D207" s="71" t="n"/>
      <c r="E207" s="160" t="n"/>
      <c r="F207" s="50" t="n"/>
      <c r="G207" s="70" t="n"/>
      <c r="H207" s="71" t="n"/>
      <c r="I207" s="73" t="n"/>
    </row>
    <row r="208" ht="18" customHeight="1">
      <c r="A208" s="157">
        <f>IF(B208&lt;&gt;"","MTO-"&amp;TEXT(ROW()-3,"000"),"")</f>
        <v/>
      </c>
      <c r="B208" s="56" t="n"/>
      <c r="C208" s="59" t="n"/>
      <c r="D208" s="59" t="n"/>
      <c r="E208" s="158" t="n"/>
      <c r="F208" s="50" t="n"/>
      <c r="G208" s="58" t="n"/>
      <c r="H208" s="59" t="n"/>
      <c r="I208" s="61" t="n"/>
    </row>
    <row r="209" ht="18" customHeight="1">
      <c r="A209" s="157">
        <f>IF(B209&lt;&gt;"","MTO-"&amp;TEXT(ROW()-3,"000"),"")</f>
        <v/>
      </c>
      <c r="B209" s="68" t="n"/>
      <c r="C209" s="71" t="n"/>
      <c r="D209" s="71" t="n"/>
      <c r="E209" s="160" t="n"/>
      <c r="F209" s="50" t="n"/>
      <c r="G209" s="70" t="n"/>
      <c r="H209" s="71" t="n"/>
      <c r="I209" s="73" t="n"/>
    </row>
    <row r="210" ht="18" customHeight="1">
      <c r="A210" s="157">
        <f>IF(B210&lt;&gt;"","MTO-"&amp;TEXT(ROW()-3,"000"),"")</f>
        <v/>
      </c>
      <c r="B210" s="56" t="n"/>
      <c r="C210" s="59" t="n"/>
      <c r="D210" s="59" t="n"/>
      <c r="E210" s="158" t="n"/>
      <c r="F210" s="50" t="n"/>
      <c r="G210" s="58" t="n"/>
      <c r="H210" s="59" t="n"/>
      <c r="I210" s="61" t="n"/>
    </row>
    <row r="211" ht="18" customHeight="1">
      <c r="A211" s="157">
        <f>IF(B211&lt;&gt;"","MTO-"&amp;TEXT(ROW()-3,"000"),"")</f>
        <v/>
      </c>
      <c r="B211" s="68" t="n"/>
      <c r="C211" s="71" t="n"/>
      <c r="D211" s="71" t="n"/>
      <c r="E211" s="160" t="n"/>
      <c r="F211" s="50" t="n"/>
      <c r="G211" s="70" t="n"/>
      <c r="H211" s="71" t="n"/>
      <c r="I211" s="73" t="n"/>
    </row>
    <row r="212" ht="18" customHeight="1">
      <c r="A212" s="157">
        <f>IF(B212&lt;&gt;"","MTO-"&amp;TEXT(ROW()-3,"000"),"")</f>
        <v/>
      </c>
      <c r="B212" s="56" t="n"/>
      <c r="C212" s="59" t="n"/>
      <c r="D212" s="59" t="n"/>
      <c r="E212" s="158" t="n"/>
      <c r="F212" s="50" t="n"/>
      <c r="G212" s="58" t="n"/>
      <c r="H212" s="59" t="n"/>
      <c r="I212" s="61" t="n"/>
    </row>
    <row r="213" ht="18" customHeight="1">
      <c r="A213" s="157">
        <f>IF(B213&lt;&gt;"","MTO-"&amp;TEXT(ROW()-3,"000"),"")</f>
        <v/>
      </c>
      <c r="B213" s="68" t="n"/>
      <c r="C213" s="71" t="n"/>
      <c r="D213" s="71" t="n"/>
      <c r="E213" s="160" t="n"/>
      <c r="F213" s="50" t="n"/>
      <c r="G213" s="70" t="n"/>
      <c r="H213" s="71" t="n"/>
      <c r="I213" s="73" t="n"/>
    </row>
    <row r="214" ht="18" customHeight="1">
      <c r="A214" s="157">
        <f>IF(B214&lt;&gt;"","MTO-"&amp;TEXT(ROW()-3,"000"),"")</f>
        <v/>
      </c>
      <c r="B214" s="56" t="n"/>
      <c r="C214" s="59" t="n"/>
      <c r="D214" s="59" t="n"/>
      <c r="E214" s="158" t="n"/>
      <c r="F214" s="50" t="n"/>
      <c r="G214" s="58" t="n"/>
      <c r="H214" s="59" t="n"/>
      <c r="I214" s="61" t="n"/>
    </row>
    <row r="215" ht="18" customHeight="1">
      <c r="A215" s="157">
        <f>IF(B215&lt;&gt;"","MTO-"&amp;TEXT(ROW()-3,"000"),"")</f>
        <v/>
      </c>
      <c r="B215" s="68" t="n"/>
      <c r="C215" s="71" t="n"/>
      <c r="D215" s="71" t="n"/>
      <c r="E215" s="160" t="n"/>
      <c r="F215" s="50" t="n"/>
      <c r="G215" s="70" t="n"/>
      <c r="H215" s="71" t="n"/>
      <c r="I215" s="73" t="n"/>
    </row>
    <row r="216" ht="18" customHeight="1">
      <c r="A216" s="157">
        <f>IF(B216&lt;&gt;"","MTO-"&amp;TEXT(ROW()-3,"000"),"")</f>
        <v/>
      </c>
      <c r="B216" s="56" t="n"/>
      <c r="C216" s="59" t="n"/>
      <c r="D216" s="59" t="n"/>
      <c r="E216" s="158" t="n"/>
      <c r="F216" s="50" t="n"/>
      <c r="G216" s="58" t="n"/>
      <c r="H216" s="59" t="n"/>
      <c r="I216" s="61" t="n"/>
    </row>
    <row r="217" ht="18" customHeight="1">
      <c r="A217" s="157">
        <f>IF(B217&lt;&gt;"","MTO-"&amp;TEXT(ROW()-3,"000"),"")</f>
        <v/>
      </c>
      <c r="B217" s="68" t="n"/>
      <c r="C217" s="71" t="n"/>
      <c r="D217" s="71" t="n"/>
      <c r="E217" s="160" t="n"/>
      <c r="F217" s="50" t="n"/>
      <c r="G217" s="70" t="n"/>
      <c r="H217" s="71" t="n"/>
      <c r="I217" s="73" t="n"/>
    </row>
    <row r="218" ht="18" customHeight="1">
      <c r="A218" s="157">
        <f>IF(B218&lt;&gt;"","MTO-"&amp;TEXT(ROW()-3,"000"),"")</f>
        <v/>
      </c>
      <c r="B218" s="56" t="n"/>
      <c r="C218" s="59" t="n"/>
      <c r="D218" s="59" t="n"/>
      <c r="E218" s="158" t="n"/>
      <c r="F218" s="50" t="n"/>
      <c r="G218" s="58" t="n"/>
      <c r="H218" s="59" t="n"/>
      <c r="I218" s="61" t="n"/>
    </row>
    <row r="219" ht="18" customHeight="1">
      <c r="A219" s="157">
        <f>IF(B219&lt;&gt;"","MTO-"&amp;TEXT(ROW()-3,"000"),"")</f>
        <v/>
      </c>
      <c r="B219" s="68" t="n"/>
      <c r="C219" s="71" t="n"/>
      <c r="D219" s="71" t="n"/>
      <c r="E219" s="160" t="n"/>
      <c r="F219" s="50" t="n"/>
      <c r="G219" s="70" t="n"/>
      <c r="H219" s="71" t="n"/>
      <c r="I219" s="73" t="n"/>
    </row>
    <row r="220" ht="18" customHeight="1">
      <c r="A220" s="157">
        <f>IF(B220&lt;&gt;"","MTO-"&amp;TEXT(ROW()-3,"000"),"")</f>
        <v/>
      </c>
      <c r="B220" s="56" t="n"/>
      <c r="C220" s="59" t="n"/>
      <c r="D220" s="59" t="n"/>
      <c r="E220" s="158" t="n"/>
      <c r="F220" s="50" t="n"/>
      <c r="G220" s="58" t="n"/>
      <c r="H220" s="59" t="n"/>
      <c r="I220" s="61" t="n"/>
    </row>
    <row r="221" ht="18" customHeight="1">
      <c r="A221" s="157">
        <f>IF(B221&lt;&gt;"","MTO-"&amp;TEXT(ROW()-3,"000"),"")</f>
        <v/>
      </c>
      <c r="B221" s="68" t="n"/>
      <c r="C221" s="71" t="n"/>
      <c r="D221" s="71" t="n"/>
      <c r="E221" s="160" t="n"/>
      <c r="F221" s="50" t="n"/>
      <c r="G221" s="70" t="n"/>
      <c r="H221" s="71" t="n"/>
      <c r="I221" s="73" t="n"/>
    </row>
    <row r="222" ht="18" customHeight="1">
      <c r="A222" s="157">
        <f>IF(B222&lt;&gt;"","MTO-"&amp;TEXT(ROW()-3,"000"),"")</f>
        <v/>
      </c>
      <c r="B222" s="56" t="n"/>
      <c r="C222" s="59" t="n"/>
      <c r="D222" s="59" t="n"/>
      <c r="E222" s="158" t="n"/>
      <c r="F222" s="50" t="n"/>
      <c r="G222" s="58" t="n"/>
      <c r="H222" s="59" t="n"/>
      <c r="I222" s="61" t="n"/>
    </row>
    <row r="223" ht="18" customHeight="1">
      <c r="A223" s="157">
        <f>IF(B223&lt;&gt;"","MTO-"&amp;TEXT(ROW()-3,"000"),"")</f>
        <v/>
      </c>
      <c r="B223" s="68" t="n"/>
      <c r="C223" s="71" t="n"/>
      <c r="D223" s="71" t="n"/>
      <c r="E223" s="160" t="n"/>
      <c r="F223" s="50" t="n"/>
      <c r="G223" s="70" t="n"/>
      <c r="H223" s="71" t="n"/>
      <c r="I223" s="73" t="n"/>
    </row>
    <row r="224" ht="18" customHeight="1">
      <c r="A224" s="157">
        <f>IF(B224&lt;&gt;"","MTO-"&amp;TEXT(ROW()-3,"000"),"")</f>
        <v/>
      </c>
      <c r="B224" s="56" t="n"/>
      <c r="C224" s="59" t="n"/>
      <c r="D224" s="59" t="n"/>
      <c r="E224" s="158" t="n"/>
      <c r="F224" s="50" t="n"/>
      <c r="G224" s="58" t="n"/>
      <c r="H224" s="59" t="n"/>
      <c r="I224" s="61" t="n"/>
    </row>
    <row r="225" ht="18" customHeight="1">
      <c r="A225" s="157">
        <f>IF(B225&lt;&gt;"","MTO-"&amp;TEXT(ROW()-3,"000"),"")</f>
        <v/>
      </c>
      <c r="B225" s="68" t="n"/>
      <c r="C225" s="71" t="n"/>
      <c r="D225" s="71" t="n"/>
      <c r="E225" s="160" t="n"/>
      <c r="F225" s="50" t="n"/>
      <c r="G225" s="70" t="n"/>
      <c r="H225" s="71" t="n"/>
      <c r="I225" s="73" t="n"/>
    </row>
    <row r="226" ht="18" customHeight="1">
      <c r="A226" s="157">
        <f>IF(B226&lt;&gt;"","MTO-"&amp;TEXT(ROW()-3,"000"),"")</f>
        <v/>
      </c>
      <c r="B226" s="56" t="n"/>
      <c r="C226" s="59" t="n"/>
      <c r="D226" s="59" t="n"/>
      <c r="E226" s="158" t="n"/>
      <c r="F226" s="50" t="n"/>
      <c r="G226" s="58" t="n"/>
      <c r="H226" s="59" t="n"/>
      <c r="I226" s="61" t="n"/>
    </row>
    <row r="227" ht="18" customHeight="1">
      <c r="A227" s="157">
        <f>IF(B227&lt;&gt;"","MTO-"&amp;TEXT(ROW()-3,"000"),"")</f>
        <v/>
      </c>
      <c r="B227" s="68" t="n"/>
      <c r="C227" s="71" t="n"/>
      <c r="D227" s="71" t="n"/>
      <c r="E227" s="160" t="n"/>
      <c r="F227" s="50" t="n"/>
      <c r="G227" s="70" t="n"/>
      <c r="H227" s="71" t="n"/>
      <c r="I227" s="73" t="n"/>
    </row>
    <row r="228" ht="18" customHeight="1">
      <c r="A228" s="157">
        <f>IF(B228&lt;&gt;"","MTO-"&amp;TEXT(ROW()-3,"000"),"")</f>
        <v/>
      </c>
      <c r="B228" s="56" t="n"/>
      <c r="C228" s="59" t="n"/>
      <c r="D228" s="59" t="n"/>
      <c r="E228" s="158" t="n"/>
      <c r="F228" s="50" t="n"/>
      <c r="G228" s="58" t="n"/>
      <c r="H228" s="59" t="n"/>
      <c r="I228" s="61" t="n"/>
    </row>
    <row r="229" ht="18" customHeight="1">
      <c r="A229" s="157">
        <f>IF(B229&lt;&gt;"","MTO-"&amp;TEXT(ROW()-3,"000"),"")</f>
        <v/>
      </c>
      <c r="B229" s="68" t="n"/>
      <c r="C229" s="71" t="n"/>
      <c r="D229" s="71" t="n"/>
      <c r="E229" s="160" t="n"/>
      <c r="F229" s="50" t="n"/>
      <c r="G229" s="70" t="n"/>
      <c r="H229" s="71" t="n"/>
      <c r="I229" s="73" t="n"/>
    </row>
    <row r="230" ht="18" customHeight="1">
      <c r="A230" s="157">
        <f>IF(B230&lt;&gt;"","MTO-"&amp;TEXT(ROW()-3,"000"),"")</f>
        <v/>
      </c>
      <c r="B230" s="56" t="n"/>
      <c r="C230" s="59" t="n"/>
      <c r="D230" s="59" t="n"/>
      <c r="E230" s="158" t="n"/>
      <c r="F230" s="50" t="n"/>
      <c r="G230" s="58" t="n"/>
      <c r="H230" s="59" t="n"/>
      <c r="I230" s="61" t="n"/>
    </row>
    <row r="231" ht="18" customHeight="1">
      <c r="A231" s="157">
        <f>IF(B231&lt;&gt;"","MTO-"&amp;TEXT(ROW()-3,"000"),"")</f>
        <v/>
      </c>
      <c r="B231" s="68" t="n"/>
      <c r="C231" s="71" t="n"/>
      <c r="D231" s="71" t="n"/>
      <c r="E231" s="160" t="n"/>
      <c r="F231" s="50" t="n"/>
      <c r="G231" s="70" t="n"/>
      <c r="H231" s="71" t="n"/>
      <c r="I231" s="73" t="n"/>
    </row>
    <row r="232" ht="18" customHeight="1">
      <c r="A232" s="157">
        <f>IF(B232&lt;&gt;"","MTO-"&amp;TEXT(ROW()-3,"000"),"")</f>
        <v/>
      </c>
      <c r="B232" s="56" t="n"/>
      <c r="C232" s="59" t="n"/>
      <c r="D232" s="59" t="n"/>
      <c r="E232" s="158" t="n"/>
      <c r="F232" s="50" t="n"/>
      <c r="G232" s="58" t="n"/>
      <c r="H232" s="59" t="n"/>
      <c r="I232" s="61" t="n"/>
    </row>
    <row r="233" ht="18" customHeight="1">
      <c r="A233" s="157">
        <f>IF(B233&lt;&gt;"","MTO-"&amp;TEXT(ROW()-3,"000"),"")</f>
        <v/>
      </c>
      <c r="B233" s="68" t="n"/>
      <c r="C233" s="71" t="n"/>
      <c r="D233" s="71" t="n"/>
      <c r="E233" s="160" t="n"/>
      <c r="F233" s="50" t="n"/>
      <c r="G233" s="70" t="n"/>
      <c r="H233" s="71" t="n"/>
      <c r="I233" s="73" t="n"/>
    </row>
    <row r="234" ht="18" customHeight="1">
      <c r="A234" s="157">
        <f>IF(B234&lt;&gt;"","MTO-"&amp;TEXT(ROW()-3,"000"),"")</f>
        <v/>
      </c>
      <c r="B234" s="56" t="n"/>
      <c r="C234" s="59" t="n"/>
      <c r="D234" s="59" t="n"/>
      <c r="E234" s="158" t="n"/>
      <c r="F234" s="50" t="n"/>
      <c r="G234" s="58" t="n"/>
      <c r="H234" s="59" t="n"/>
      <c r="I234" s="61" t="n"/>
    </row>
    <row r="235" ht="18" customHeight="1">
      <c r="A235" s="157">
        <f>IF(B235&lt;&gt;"","MTO-"&amp;TEXT(ROW()-3,"000"),"")</f>
        <v/>
      </c>
      <c r="B235" s="68" t="n"/>
      <c r="C235" s="71" t="n"/>
      <c r="D235" s="71" t="n"/>
      <c r="E235" s="160" t="n"/>
      <c r="F235" s="50" t="n"/>
      <c r="G235" s="70" t="n"/>
      <c r="H235" s="71" t="n"/>
      <c r="I235" s="73" t="n"/>
    </row>
    <row r="236" ht="18" customHeight="1">
      <c r="A236" s="157">
        <f>IF(B236&lt;&gt;"","MTO-"&amp;TEXT(ROW()-3,"000"),"")</f>
        <v/>
      </c>
      <c r="B236" s="56" t="n"/>
      <c r="C236" s="59" t="n"/>
      <c r="D236" s="59" t="n"/>
      <c r="E236" s="158" t="n"/>
      <c r="F236" s="50" t="n"/>
      <c r="G236" s="58" t="n"/>
      <c r="H236" s="59" t="n"/>
      <c r="I236" s="61" t="n"/>
    </row>
    <row r="237" ht="18" customHeight="1">
      <c r="A237" s="157">
        <f>IF(B237&lt;&gt;"","MTO-"&amp;TEXT(ROW()-3,"000"),"")</f>
        <v/>
      </c>
      <c r="B237" s="68" t="n"/>
      <c r="C237" s="71" t="n"/>
      <c r="D237" s="71" t="n"/>
      <c r="E237" s="160" t="n"/>
      <c r="F237" s="50" t="n"/>
      <c r="G237" s="70" t="n"/>
      <c r="H237" s="71" t="n"/>
      <c r="I237" s="73" t="n"/>
    </row>
    <row r="238" ht="18" customHeight="1">
      <c r="A238" s="157">
        <f>IF(B238&lt;&gt;"","MTO-"&amp;TEXT(ROW()-3,"000"),"")</f>
        <v/>
      </c>
      <c r="B238" s="56" t="n"/>
      <c r="C238" s="59" t="n"/>
      <c r="D238" s="59" t="n"/>
      <c r="E238" s="158" t="n"/>
      <c r="F238" s="50" t="n"/>
      <c r="G238" s="58" t="n"/>
      <c r="H238" s="59" t="n"/>
      <c r="I238" s="61" t="n"/>
    </row>
    <row r="239" ht="18" customHeight="1">
      <c r="A239" s="157">
        <f>IF(B239&lt;&gt;"","MTO-"&amp;TEXT(ROW()-3,"000"),"")</f>
        <v/>
      </c>
      <c r="B239" s="68" t="n"/>
      <c r="C239" s="71" t="n"/>
      <c r="D239" s="71" t="n"/>
      <c r="E239" s="160" t="n"/>
      <c r="F239" s="50" t="n"/>
      <c r="G239" s="70" t="n"/>
      <c r="H239" s="71" t="n"/>
      <c r="I239" s="73" t="n"/>
    </row>
    <row r="240" ht="18" customHeight="1">
      <c r="A240" s="157">
        <f>IF(B240&lt;&gt;"","MTO-"&amp;TEXT(ROW()-3,"000"),"")</f>
        <v/>
      </c>
      <c r="B240" s="56" t="n"/>
      <c r="C240" s="59" t="n"/>
      <c r="D240" s="59" t="n"/>
      <c r="E240" s="158" t="n"/>
      <c r="F240" s="50" t="n"/>
      <c r="G240" s="58" t="n"/>
      <c r="H240" s="59" t="n"/>
      <c r="I240" s="61" t="n"/>
    </row>
    <row r="241" ht="18" customHeight="1">
      <c r="A241" s="157">
        <f>IF(B241&lt;&gt;"","MTO-"&amp;TEXT(ROW()-3,"000"),"")</f>
        <v/>
      </c>
      <c r="B241" s="68" t="n"/>
      <c r="C241" s="71" t="n"/>
      <c r="D241" s="71" t="n"/>
      <c r="E241" s="160" t="n"/>
      <c r="F241" s="50" t="n"/>
      <c r="G241" s="70" t="n"/>
      <c r="H241" s="71" t="n"/>
      <c r="I241" s="73" t="n"/>
    </row>
    <row r="242" ht="18" customHeight="1">
      <c r="A242" s="157">
        <f>IF(B242&lt;&gt;"","MTO-"&amp;TEXT(ROW()-3,"000"),"")</f>
        <v/>
      </c>
      <c r="B242" s="56" t="n"/>
      <c r="C242" s="59" t="n"/>
      <c r="D242" s="59" t="n"/>
      <c r="E242" s="158" t="n"/>
      <c r="F242" s="50" t="n"/>
      <c r="G242" s="58" t="n"/>
      <c r="H242" s="59" t="n"/>
      <c r="I242" s="61" t="n"/>
    </row>
    <row r="243" ht="18" customHeight="1">
      <c r="A243" s="157">
        <f>IF(B243&lt;&gt;"","MTO-"&amp;TEXT(ROW()-3,"000"),"")</f>
        <v/>
      </c>
      <c r="B243" s="68" t="n"/>
      <c r="C243" s="71" t="n"/>
      <c r="D243" s="71" t="n"/>
      <c r="E243" s="160" t="n"/>
      <c r="F243" s="50" t="n"/>
      <c r="G243" s="70" t="n"/>
      <c r="H243" s="71" t="n"/>
      <c r="I243" s="73" t="n"/>
    </row>
    <row r="244" ht="18" customHeight="1">
      <c r="A244" s="157">
        <f>IF(B244&lt;&gt;"","MTO-"&amp;TEXT(ROW()-3,"000"),"")</f>
        <v/>
      </c>
      <c r="B244" s="56" t="n"/>
      <c r="C244" s="59" t="n"/>
      <c r="D244" s="59" t="n"/>
      <c r="E244" s="158" t="n"/>
      <c r="F244" s="50" t="n"/>
      <c r="G244" s="58" t="n"/>
      <c r="H244" s="59" t="n"/>
      <c r="I244" s="61" t="n"/>
    </row>
    <row r="245" ht="18" customHeight="1">
      <c r="A245" s="157">
        <f>IF(B245&lt;&gt;"","MTO-"&amp;TEXT(ROW()-3,"000"),"")</f>
        <v/>
      </c>
      <c r="B245" s="68" t="n"/>
      <c r="C245" s="71" t="n"/>
      <c r="D245" s="71" t="n"/>
      <c r="E245" s="160" t="n"/>
      <c r="F245" s="50" t="n"/>
      <c r="G245" s="70" t="n"/>
      <c r="H245" s="71" t="n"/>
      <c r="I245" s="73" t="n"/>
    </row>
    <row r="246" ht="18" customHeight="1">
      <c r="A246" s="157">
        <f>IF(B246&lt;&gt;"","MTO-"&amp;TEXT(ROW()-3,"000"),"")</f>
        <v/>
      </c>
      <c r="B246" s="56" t="n"/>
      <c r="C246" s="59" t="n"/>
      <c r="D246" s="59" t="n"/>
      <c r="E246" s="158" t="n"/>
      <c r="F246" s="50" t="n"/>
      <c r="G246" s="58" t="n"/>
      <c r="H246" s="59" t="n"/>
      <c r="I246" s="61" t="n"/>
    </row>
    <row r="247" ht="18" customHeight="1">
      <c r="A247" s="157">
        <f>IF(B247&lt;&gt;"","MTO-"&amp;TEXT(ROW()-3,"000"),"")</f>
        <v/>
      </c>
      <c r="B247" s="68" t="n"/>
      <c r="C247" s="71" t="n"/>
      <c r="D247" s="71" t="n"/>
      <c r="E247" s="160" t="n"/>
      <c r="F247" s="50" t="n"/>
      <c r="G247" s="70" t="n"/>
      <c r="H247" s="71" t="n"/>
      <c r="I247" s="73" t="n"/>
    </row>
    <row r="248" ht="18" customHeight="1">
      <c r="A248" s="157">
        <f>IF(B248&lt;&gt;"","MTO-"&amp;TEXT(ROW()-3,"000"),"")</f>
        <v/>
      </c>
      <c r="B248" s="56" t="n"/>
      <c r="C248" s="59" t="n"/>
      <c r="D248" s="59" t="n"/>
      <c r="E248" s="158" t="n"/>
      <c r="F248" s="50" t="n"/>
      <c r="G248" s="58" t="n"/>
      <c r="H248" s="59" t="n"/>
      <c r="I248" s="61" t="n"/>
    </row>
    <row r="249" ht="18" customHeight="1">
      <c r="A249" s="157">
        <f>IF(B249&lt;&gt;"","MTO-"&amp;TEXT(ROW()-3,"000"),"")</f>
        <v/>
      </c>
      <c r="B249" s="68" t="n"/>
      <c r="C249" s="71" t="n"/>
      <c r="D249" s="71" t="n"/>
      <c r="E249" s="160" t="n"/>
      <c r="F249" s="50" t="n"/>
      <c r="G249" s="70" t="n"/>
      <c r="H249" s="71" t="n"/>
      <c r="I249" s="73" t="n"/>
    </row>
    <row r="250" ht="18" customHeight="1">
      <c r="A250" s="157">
        <f>IF(B250&lt;&gt;"","MTO-"&amp;TEXT(ROW()-3,"000"),"")</f>
        <v/>
      </c>
      <c r="B250" s="56" t="n"/>
      <c r="C250" s="59" t="n"/>
      <c r="D250" s="59" t="n"/>
      <c r="E250" s="158" t="n"/>
      <c r="F250" s="50" t="n"/>
      <c r="G250" s="58" t="n"/>
      <c r="H250" s="59" t="n"/>
      <c r="I250" s="61" t="n"/>
    </row>
    <row r="251" ht="18" customHeight="1">
      <c r="A251" s="157">
        <f>IF(B251&lt;&gt;"","MTO-"&amp;TEXT(ROW()-3,"000"),"")</f>
        <v/>
      </c>
      <c r="B251" s="68" t="n"/>
      <c r="C251" s="71" t="n"/>
      <c r="D251" s="71" t="n"/>
      <c r="E251" s="160" t="n"/>
      <c r="F251" s="50" t="n"/>
      <c r="G251" s="70" t="n"/>
      <c r="H251" s="71" t="n"/>
      <c r="I251" s="73" t="n"/>
    </row>
    <row r="252" ht="18" customHeight="1">
      <c r="A252" s="157">
        <f>IF(B252&lt;&gt;"","MTO-"&amp;TEXT(ROW()-3,"000"),"")</f>
        <v/>
      </c>
      <c r="B252" s="56" t="n"/>
      <c r="C252" s="59" t="n"/>
      <c r="D252" s="59" t="n"/>
      <c r="E252" s="158" t="n"/>
      <c r="F252" s="50" t="n"/>
      <c r="G252" s="58" t="n"/>
      <c r="H252" s="59" t="n"/>
      <c r="I252" s="61" t="n"/>
    </row>
    <row r="253" ht="18" customHeight="1">
      <c r="A253" s="157">
        <f>IF(B253&lt;&gt;"","MTO-"&amp;TEXT(ROW()-3,"000"),"")</f>
        <v/>
      </c>
      <c r="B253" s="68" t="n"/>
      <c r="C253" s="71" t="n"/>
      <c r="D253" s="71" t="n"/>
      <c r="E253" s="160" t="n"/>
      <c r="F253" s="50" t="n"/>
      <c r="G253" s="70" t="n"/>
      <c r="H253" s="71" t="n"/>
      <c r="I253" s="73" t="n"/>
    </row>
    <row r="254" ht="18" customHeight="1">
      <c r="A254" s="157">
        <f>IF(B254&lt;&gt;"","MTO-"&amp;TEXT(ROW()-3,"000"),"")</f>
        <v/>
      </c>
      <c r="B254" s="56" t="n"/>
      <c r="C254" s="59" t="n"/>
      <c r="D254" s="59" t="n"/>
      <c r="E254" s="158" t="n"/>
      <c r="F254" s="50" t="n"/>
      <c r="G254" s="58" t="n"/>
      <c r="H254" s="59" t="n"/>
      <c r="I254" s="61" t="n"/>
    </row>
    <row r="255" ht="18" customHeight="1">
      <c r="A255" s="157">
        <f>IF(B255&lt;&gt;"","MTO-"&amp;TEXT(ROW()-3,"000"),"")</f>
        <v/>
      </c>
      <c r="B255" s="68" t="n"/>
      <c r="C255" s="71" t="n"/>
      <c r="D255" s="71" t="n"/>
      <c r="E255" s="160" t="n"/>
      <c r="F255" s="50" t="n"/>
      <c r="G255" s="70" t="n"/>
      <c r="H255" s="71" t="n"/>
      <c r="I255" s="73" t="n"/>
    </row>
    <row r="256" ht="18" customHeight="1">
      <c r="A256" s="157">
        <f>IF(B256&lt;&gt;"","MTO-"&amp;TEXT(ROW()-3,"000"),"")</f>
        <v/>
      </c>
      <c r="B256" s="56" t="n"/>
      <c r="C256" s="59" t="n"/>
      <c r="D256" s="59" t="n"/>
      <c r="E256" s="158" t="n"/>
      <c r="F256" s="50" t="n"/>
      <c r="G256" s="58" t="n"/>
      <c r="H256" s="59" t="n"/>
      <c r="I256" s="61" t="n"/>
    </row>
    <row r="257" ht="18" customHeight="1">
      <c r="A257" s="157">
        <f>IF(B257&lt;&gt;"","MTO-"&amp;TEXT(ROW()-3,"000"),"")</f>
        <v/>
      </c>
      <c r="B257" s="68" t="n"/>
      <c r="C257" s="71" t="n"/>
      <c r="D257" s="71" t="n"/>
      <c r="E257" s="160" t="n"/>
      <c r="F257" s="50" t="n"/>
      <c r="G257" s="70" t="n"/>
      <c r="H257" s="71" t="n"/>
      <c r="I257" s="73" t="n"/>
    </row>
    <row r="258" ht="18" customHeight="1">
      <c r="A258" s="157">
        <f>IF(B258&lt;&gt;"","MTO-"&amp;TEXT(ROW()-3,"000"),"")</f>
        <v/>
      </c>
      <c r="B258" s="56" t="n"/>
      <c r="C258" s="59" t="n"/>
      <c r="D258" s="59" t="n"/>
      <c r="E258" s="158" t="n"/>
      <c r="F258" s="50" t="n"/>
      <c r="G258" s="58" t="n"/>
      <c r="H258" s="59" t="n"/>
      <c r="I258" s="61" t="n"/>
    </row>
    <row r="259" ht="18" customHeight="1">
      <c r="A259" s="157">
        <f>IF(B259&lt;&gt;"","MTO-"&amp;TEXT(ROW()-3,"000"),"")</f>
        <v/>
      </c>
      <c r="B259" s="68" t="n"/>
      <c r="C259" s="71" t="n"/>
      <c r="D259" s="71" t="n"/>
      <c r="E259" s="160" t="n"/>
      <c r="F259" s="50" t="n"/>
      <c r="G259" s="70" t="n"/>
      <c r="H259" s="71" t="n"/>
      <c r="I259" s="73" t="n"/>
    </row>
    <row r="260" ht="18" customHeight="1">
      <c r="A260" s="157">
        <f>IF(B260&lt;&gt;"","MTO-"&amp;TEXT(ROW()-3,"000"),"")</f>
        <v/>
      </c>
      <c r="B260" s="56" t="n"/>
      <c r="C260" s="59" t="n"/>
      <c r="D260" s="59" t="n"/>
      <c r="E260" s="158" t="n"/>
      <c r="F260" s="50" t="n"/>
      <c r="G260" s="58" t="n"/>
      <c r="H260" s="59" t="n"/>
      <c r="I260" s="61" t="n"/>
    </row>
    <row r="261" ht="18" customHeight="1">
      <c r="A261" s="157">
        <f>IF(B261&lt;&gt;"","MTO-"&amp;TEXT(ROW()-3,"000"),"")</f>
        <v/>
      </c>
      <c r="B261" s="68" t="n"/>
      <c r="C261" s="71" t="n"/>
      <c r="D261" s="71" t="n"/>
      <c r="E261" s="160" t="n"/>
      <c r="F261" s="50" t="n"/>
      <c r="G261" s="70" t="n"/>
      <c r="H261" s="71" t="n"/>
      <c r="I261" s="73" t="n"/>
    </row>
    <row r="262" ht="18" customHeight="1">
      <c r="A262" s="157">
        <f>IF(B262&lt;&gt;"","MTO-"&amp;TEXT(ROW()-3,"000"),"")</f>
        <v/>
      </c>
      <c r="B262" s="56" t="n"/>
      <c r="C262" s="59" t="n"/>
      <c r="D262" s="59" t="n"/>
      <c r="E262" s="158" t="n"/>
      <c r="F262" s="50" t="n"/>
      <c r="G262" s="58" t="n"/>
      <c r="H262" s="59" t="n"/>
      <c r="I262" s="61" t="n"/>
    </row>
    <row r="263" ht="18" customHeight="1">
      <c r="A263" s="157">
        <f>IF(B263&lt;&gt;"","MTO-"&amp;TEXT(ROW()-3,"000"),"")</f>
        <v/>
      </c>
      <c r="B263" s="68" t="n"/>
      <c r="C263" s="71" t="n"/>
      <c r="D263" s="71" t="n"/>
      <c r="E263" s="160" t="n"/>
      <c r="F263" s="50" t="n"/>
      <c r="G263" s="70" t="n"/>
      <c r="H263" s="71" t="n"/>
      <c r="I263" s="73" t="n"/>
    </row>
    <row r="264" ht="18" customHeight="1">
      <c r="A264" s="157">
        <f>IF(B264&lt;&gt;"","MTO-"&amp;TEXT(ROW()-3,"000"),"")</f>
        <v/>
      </c>
      <c r="B264" s="56" t="n"/>
      <c r="C264" s="59" t="n"/>
      <c r="D264" s="59" t="n"/>
      <c r="E264" s="158" t="n"/>
      <c r="F264" s="50" t="n"/>
      <c r="G264" s="58" t="n"/>
      <c r="H264" s="59" t="n"/>
      <c r="I264" s="61" t="n"/>
    </row>
    <row r="265" ht="18" customHeight="1">
      <c r="A265" s="157">
        <f>IF(B265&lt;&gt;"","MTO-"&amp;TEXT(ROW()-3,"000"),"")</f>
        <v/>
      </c>
      <c r="B265" s="68" t="n"/>
      <c r="C265" s="71" t="n"/>
      <c r="D265" s="71" t="n"/>
      <c r="E265" s="160" t="n"/>
      <c r="F265" s="50" t="n"/>
      <c r="G265" s="70" t="n"/>
      <c r="H265" s="71" t="n"/>
      <c r="I265" s="73" t="n"/>
    </row>
    <row r="266" ht="18" customHeight="1">
      <c r="A266" s="157">
        <f>IF(B266&lt;&gt;"","MTO-"&amp;TEXT(ROW()-3,"000"),"")</f>
        <v/>
      </c>
      <c r="B266" s="56" t="n"/>
      <c r="C266" s="59" t="n"/>
      <c r="D266" s="59" t="n"/>
      <c r="E266" s="158" t="n"/>
      <c r="F266" s="50" t="n"/>
      <c r="G266" s="58" t="n"/>
      <c r="H266" s="59" t="n"/>
      <c r="I266" s="61" t="n"/>
    </row>
    <row r="267" ht="18" customHeight="1">
      <c r="A267" s="157">
        <f>IF(B267&lt;&gt;"","MTO-"&amp;TEXT(ROW()-3,"000"),"")</f>
        <v/>
      </c>
      <c r="B267" s="68" t="n"/>
      <c r="C267" s="71" t="n"/>
      <c r="D267" s="71" t="n"/>
      <c r="E267" s="160" t="n"/>
      <c r="F267" s="50" t="n"/>
      <c r="G267" s="70" t="n"/>
      <c r="H267" s="71" t="n"/>
      <c r="I267" s="73" t="n"/>
    </row>
    <row r="268" ht="18" customHeight="1">
      <c r="A268" s="157">
        <f>IF(B268&lt;&gt;"","MTO-"&amp;TEXT(ROW()-3,"000"),"")</f>
        <v/>
      </c>
      <c r="B268" s="56" t="n"/>
      <c r="C268" s="59" t="n"/>
      <c r="D268" s="59" t="n"/>
      <c r="E268" s="158" t="n"/>
      <c r="F268" s="50" t="n"/>
      <c r="G268" s="58" t="n"/>
      <c r="H268" s="59" t="n"/>
      <c r="I268" s="61" t="n"/>
    </row>
    <row r="269" ht="18" customHeight="1">
      <c r="A269" s="157">
        <f>IF(B269&lt;&gt;"","MTO-"&amp;TEXT(ROW()-3,"000"),"")</f>
        <v/>
      </c>
      <c r="B269" s="68" t="n"/>
      <c r="C269" s="71" t="n"/>
      <c r="D269" s="71" t="n"/>
      <c r="E269" s="160" t="n"/>
      <c r="F269" s="50" t="n"/>
      <c r="G269" s="70" t="n"/>
      <c r="H269" s="71" t="n"/>
      <c r="I269" s="73" t="n"/>
    </row>
    <row r="270" ht="18" customHeight="1">
      <c r="A270" s="157">
        <f>IF(B270&lt;&gt;"","MTO-"&amp;TEXT(ROW()-3,"000"),"")</f>
        <v/>
      </c>
      <c r="B270" s="56" t="n"/>
      <c r="C270" s="59" t="n"/>
      <c r="D270" s="59" t="n"/>
      <c r="E270" s="158" t="n"/>
      <c r="F270" s="50" t="n"/>
      <c r="G270" s="58" t="n"/>
      <c r="H270" s="59" t="n"/>
      <c r="I270" s="61" t="n"/>
    </row>
    <row r="271" ht="18" customHeight="1">
      <c r="A271" s="157">
        <f>IF(B271&lt;&gt;"","MTO-"&amp;TEXT(ROW()-3,"000"),"")</f>
        <v/>
      </c>
      <c r="B271" s="68" t="n"/>
      <c r="C271" s="71" t="n"/>
      <c r="D271" s="71" t="n"/>
      <c r="E271" s="160" t="n"/>
      <c r="F271" s="50" t="n"/>
      <c r="G271" s="70" t="n"/>
      <c r="H271" s="71" t="n"/>
      <c r="I271" s="73" t="n"/>
    </row>
    <row r="272" ht="18" customHeight="1">
      <c r="A272" s="157">
        <f>IF(B272&lt;&gt;"","MTO-"&amp;TEXT(ROW()-3,"000"),"")</f>
        <v/>
      </c>
      <c r="B272" s="56" t="n"/>
      <c r="C272" s="59" t="n"/>
      <c r="D272" s="59" t="n"/>
      <c r="E272" s="158" t="n"/>
      <c r="F272" s="50" t="n"/>
      <c r="G272" s="58" t="n"/>
      <c r="H272" s="59" t="n"/>
      <c r="I272" s="61" t="n"/>
    </row>
    <row r="273" ht="18" customHeight="1">
      <c r="A273" s="157">
        <f>IF(B273&lt;&gt;"","MTO-"&amp;TEXT(ROW()-3,"000"),"")</f>
        <v/>
      </c>
      <c r="B273" s="68" t="n"/>
      <c r="C273" s="71" t="n"/>
      <c r="D273" s="71" t="n"/>
      <c r="E273" s="160" t="n"/>
      <c r="F273" s="50" t="n"/>
      <c r="G273" s="70" t="n"/>
      <c r="H273" s="71" t="n"/>
      <c r="I273" s="73" t="n"/>
    </row>
    <row r="274" ht="18" customHeight="1">
      <c r="A274" s="157">
        <f>IF(B274&lt;&gt;"","MTO-"&amp;TEXT(ROW()-3,"000"),"")</f>
        <v/>
      </c>
      <c r="B274" s="56" t="n"/>
      <c r="C274" s="59" t="n"/>
      <c r="D274" s="59" t="n"/>
      <c r="E274" s="158" t="n"/>
      <c r="F274" s="50" t="n"/>
      <c r="G274" s="58" t="n"/>
      <c r="H274" s="59" t="n"/>
      <c r="I274" s="61" t="n"/>
    </row>
    <row r="275" ht="18" customHeight="1">
      <c r="A275" s="157">
        <f>IF(B275&lt;&gt;"","MTO-"&amp;TEXT(ROW()-3,"000"),"")</f>
        <v/>
      </c>
      <c r="B275" s="68" t="n"/>
      <c r="C275" s="71" t="n"/>
      <c r="D275" s="71" t="n"/>
      <c r="E275" s="160" t="n"/>
      <c r="F275" s="50" t="n"/>
      <c r="G275" s="70" t="n"/>
      <c r="H275" s="71" t="n"/>
      <c r="I275" s="73" t="n"/>
    </row>
    <row r="276" ht="18" customHeight="1">
      <c r="A276" s="157">
        <f>IF(B276&lt;&gt;"","MTO-"&amp;TEXT(ROW()-3,"000"),"")</f>
        <v/>
      </c>
      <c r="B276" s="56" t="n"/>
      <c r="C276" s="59" t="n"/>
      <c r="D276" s="59" t="n"/>
      <c r="E276" s="158" t="n"/>
      <c r="F276" s="50" t="n"/>
      <c r="G276" s="58" t="n"/>
      <c r="H276" s="59" t="n"/>
      <c r="I276" s="61" t="n"/>
    </row>
    <row r="277" ht="18" customHeight="1">
      <c r="A277" s="157">
        <f>IF(B277&lt;&gt;"","MTO-"&amp;TEXT(ROW()-3,"000"),"")</f>
        <v/>
      </c>
      <c r="B277" s="68" t="n"/>
      <c r="C277" s="71" t="n"/>
      <c r="D277" s="71" t="n"/>
      <c r="E277" s="160" t="n"/>
      <c r="F277" s="50" t="n"/>
      <c r="G277" s="70" t="n"/>
      <c r="H277" s="71" t="n"/>
      <c r="I277" s="73" t="n"/>
    </row>
    <row r="278" ht="18" customHeight="1">
      <c r="A278" s="157">
        <f>IF(B278&lt;&gt;"","MTO-"&amp;TEXT(ROW()-3,"000"),"")</f>
        <v/>
      </c>
      <c r="B278" s="56" t="n"/>
      <c r="C278" s="59" t="n"/>
      <c r="D278" s="59" t="n"/>
      <c r="E278" s="158" t="n"/>
      <c r="F278" s="50" t="n"/>
      <c r="G278" s="58" t="n"/>
      <c r="H278" s="59" t="n"/>
      <c r="I278" s="61" t="n"/>
    </row>
    <row r="279" ht="18" customHeight="1">
      <c r="A279" s="157">
        <f>IF(B279&lt;&gt;"","MTO-"&amp;TEXT(ROW()-3,"000"),"")</f>
        <v/>
      </c>
      <c r="B279" s="68" t="n"/>
      <c r="C279" s="71" t="n"/>
      <c r="D279" s="71" t="n"/>
      <c r="E279" s="160" t="n"/>
      <c r="F279" s="50" t="n"/>
      <c r="G279" s="70" t="n"/>
      <c r="H279" s="71" t="n"/>
      <c r="I279" s="73" t="n"/>
    </row>
    <row r="280" ht="18" customHeight="1">
      <c r="A280" s="157">
        <f>IF(B280&lt;&gt;"","MTO-"&amp;TEXT(ROW()-3,"000"),"")</f>
        <v/>
      </c>
      <c r="B280" s="56" t="n"/>
      <c r="C280" s="59" t="n"/>
      <c r="D280" s="59" t="n"/>
      <c r="E280" s="158" t="n"/>
      <c r="F280" s="50" t="n"/>
      <c r="G280" s="58" t="n"/>
      <c r="H280" s="59" t="n"/>
      <c r="I280" s="61" t="n"/>
    </row>
    <row r="281" ht="18" customHeight="1">
      <c r="A281" s="157">
        <f>IF(B281&lt;&gt;"","MTO-"&amp;TEXT(ROW()-3,"000"),"")</f>
        <v/>
      </c>
      <c r="B281" s="68" t="n"/>
      <c r="C281" s="71" t="n"/>
      <c r="D281" s="71" t="n"/>
      <c r="E281" s="160" t="n"/>
      <c r="F281" s="50" t="n"/>
      <c r="G281" s="70" t="n"/>
      <c r="H281" s="71" t="n"/>
      <c r="I281" s="73" t="n"/>
    </row>
    <row r="282" ht="18" customHeight="1">
      <c r="A282" s="157">
        <f>IF(B282&lt;&gt;"","MTO-"&amp;TEXT(ROW()-3,"000"),"")</f>
        <v/>
      </c>
      <c r="B282" s="56" t="n"/>
      <c r="C282" s="59" t="n"/>
      <c r="D282" s="59" t="n"/>
      <c r="E282" s="158" t="n"/>
      <c r="F282" s="50" t="n"/>
      <c r="G282" s="58" t="n"/>
      <c r="H282" s="59" t="n"/>
      <c r="I282" s="61" t="n"/>
    </row>
    <row r="283" ht="18" customHeight="1">
      <c r="A283" s="157">
        <f>IF(B283&lt;&gt;"","MTO-"&amp;TEXT(ROW()-3,"000"),"")</f>
        <v/>
      </c>
      <c r="B283" s="68" t="n"/>
      <c r="C283" s="71" t="n"/>
      <c r="D283" s="71" t="n"/>
      <c r="E283" s="160" t="n"/>
      <c r="F283" s="50" t="n"/>
      <c r="G283" s="70" t="n"/>
      <c r="H283" s="71" t="n"/>
      <c r="I283" s="73" t="n"/>
    </row>
    <row r="284" ht="18" customHeight="1">
      <c r="A284" s="157">
        <f>IF(B284&lt;&gt;"","MTO-"&amp;TEXT(ROW()-3,"000"),"")</f>
        <v/>
      </c>
      <c r="B284" s="56" t="n"/>
      <c r="C284" s="59" t="n"/>
      <c r="D284" s="59" t="n"/>
      <c r="E284" s="158" t="n"/>
      <c r="F284" s="50" t="n"/>
      <c r="G284" s="58" t="n"/>
      <c r="H284" s="59" t="n"/>
      <c r="I284" s="61" t="n"/>
    </row>
    <row r="285" ht="18" customHeight="1">
      <c r="A285" s="157">
        <f>IF(B285&lt;&gt;"","MTO-"&amp;TEXT(ROW()-3,"000"),"")</f>
        <v/>
      </c>
      <c r="B285" s="68" t="n"/>
      <c r="C285" s="71" t="n"/>
      <c r="D285" s="71" t="n"/>
      <c r="E285" s="160" t="n"/>
      <c r="F285" s="50" t="n"/>
      <c r="G285" s="70" t="n"/>
      <c r="H285" s="71" t="n"/>
      <c r="I285" s="73" t="n"/>
    </row>
    <row r="286" ht="18" customHeight="1">
      <c r="A286" s="157">
        <f>IF(B286&lt;&gt;"","MTO-"&amp;TEXT(ROW()-3,"000"),"")</f>
        <v/>
      </c>
      <c r="B286" s="56" t="n"/>
      <c r="C286" s="59" t="n"/>
      <c r="D286" s="59" t="n"/>
      <c r="E286" s="158" t="n"/>
      <c r="F286" s="50" t="n"/>
      <c r="G286" s="58" t="n"/>
      <c r="H286" s="59" t="n"/>
      <c r="I286" s="61" t="n"/>
    </row>
    <row r="287" ht="18" customHeight="1">
      <c r="A287" s="157">
        <f>IF(B287&lt;&gt;"","MTO-"&amp;TEXT(ROW()-3,"000"),"")</f>
        <v/>
      </c>
      <c r="B287" s="68" t="n"/>
      <c r="C287" s="71" t="n"/>
      <c r="D287" s="71" t="n"/>
      <c r="E287" s="160" t="n"/>
      <c r="F287" s="50" t="n"/>
      <c r="G287" s="70" t="n"/>
      <c r="H287" s="71" t="n"/>
      <c r="I287" s="73" t="n"/>
    </row>
    <row r="288" ht="18" customHeight="1">
      <c r="A288" s="157">
        <f>IF(B288&lt;&gt;"","MTO-"&amp;TEXT(ROW()-3,"000"),"")</f>
        <v/>
      </c>
      <c r="B288" s="56" t="n"/>
      <c r="C288" s="59" t="n"/>
      <c r="D288" s="59" t="n"/>
      <c r="E288" s="158" t="n"/>
      <c r="F288" s="50" t="n"/>
      <c r="G288" s="58" t="n"/>
      <c r="H288" s="59" t="n"/>
      <c r="I288" s="61" t="n"/>
    </row>
    <row r="289" ht="18" customHeight="1">
      <c r="A289" s="157">
        <f>IF(B289&lt;&gt;"","MTO-"&amp;TEXT(ROW()-3,"000"),"")</f>
        <v/>
      </c>
      <c r="B289" s="68" t="n"/>
      <c r="C289" s="71" t="n"/>
      <c r="D289" s="71" t="n"/>
      <c r="E289" s="160" t="n"/>
      <c r="F289" s="50" t="n"/>
      <c r="G289" s="70" t="n"/>
      <c r="H289" s="71" t="n"/>
      <c r="I289" s="73" t="n"/>
    </row>
    <row r="290" ht="18" customHeight="1">
      <c r="A290" s="157">
        <f>IF(B290&lt;&gt;"","MTO-"&amp;TEXT(ROW()-3,"000"),"")</f>
        <v/>
      </c>
      <c r="B290" s="56" t="n"/>
      <c r="C290" s="59" t="n"/>
      <c r="D290" s="59" t="n"/>
      <c r="E290" s="158" t="n"/>
      <c r="F290" s="50" t="n"/>
      <c r="G290" s="58" t="n"/>
      <c r="H290" s="59" t="n"/>
      <c r="I290" s="61" t="n"/>
    </row>
    <row r="291" ht="18" customHeight="1">
      <c r="A291" s="157">
        <f>IF(B291&lt;&gt;"","MTO-"&amp;TEXT(ROW()-3,"000"),"")</f>
        <v/>
      </c>
      <c r="B291" s="68" t="n"/>
      <c r="C291" s="71" t="n"/>
      <c r="D291" s="71" t="n"/>
      <c r="E291" s="160" t="n"/>
      <c r="F291" s="50" t="n"/>
      <c r="G291" s="70" t="n"/>
      <c r="H291" s="71" t="n"/>
      <c r="I291" s="73" t="n"/>
    </row>
    <row r="292" ht="18" customHeight="1">
      <c r="A292" s="157">
        <f>IF(B292&lt;&gt;"","MTO-"&amp;TEXT(ROW()-3,"000"),"")</f>
        <v/>
      </c>
      <c r="B292" s="56" t="n"/>
      <c r="C292" s="59" t="n"/>
      <c r="D292" s="59" t="n"/>
      <c r="E292" s="158" t="n"/>
      <c r="F292" s="50" t="n"/>
      <c r="G292" s="58" t="n"/>
      <c r="H292" s="59" t="n"/>
      <c r="I292" s="61" t="n"/>
    </row>
    <row r="293" ht="18" customHeight="1">
      <c r="A293" s="157">
        <f>IF(B293&lt;&gt;"","MTO-"&amp;TEXT(ROW()-3,"000"),"")</f>
        <v/>
      </c>
      <c r="B293" s="68" t="n"/>
      <c r="C293" s="71" t="n"/>
      <c r="D293" s="71" t="n"/>
      <c r="E293" s="160" t="n"/>
      <c r="F293" s="50" t="n"/>
      <c r="G293" s="70" t="n"/>
      <c r="H293" s="71" t="n"/>
      <c r="I293" s="73" t="n"/>
    </row>
    <row r="294" ht="18" customHeight="1">
      <c r="A294" s="157">
        <f>IF(B294&lt;&gt;"","MTO-"&amp;TEXT(ROW()-3,"000"),"")</f>
        <v/>
      </c>
      <c r="B294" s="56" t="n"/>
      <c r="C294" s="59" t="n"/>
      <c r="D294" s="59" t="n"/>
      <c r="E294" s="158" t="n"/>
      <c r="F294" s="50" t="n"/>
      <c r="G294" s="58" t="n"/>
      <c r="H294" s="59" t="n"/>
      <c r="I294" s="61" t="n"/>
    </row>
    <row r="295" ht="18" customHeight="1">
      <c r="A295" s="157">
        <f>IF(B295&lt;&gt;"","MTO-"&amp;TEXT(ROW()-3,"000"),"")</f>
        <v/>
      </c>
      <c r="B295" s="68" t="n"/>
      <c r="C295" s="71" t="n"/>
      <c r="D295" s="71" t="n"/>
      <c r="E295" s="160" t="n"/>
      <c r="F295" s="50" t="n"/>
      <c r="G295" s="70" t="n"/>
      <c r="H295" s="71" t="n"/>
      <c r="I295" s="73" t="n"/>
    </row>
    <row r="296" ht="18" customHeight="1">
      <c r="A296" s="157">
        <f>IF(B296&lt;&gt;"","MTO-"&amp;TEXT(ROW()-3,"000"),"")</f>
        <v/>
      </c>
      <c r="B296" s="56" t="n"/>
      <c r="C296" s="59" t="n"/>
      <c r="D296" s="59" t="n"/>
      <c r="E296" s="158" t="n"/>
      <c r="F296" s="50" t="n"/>
      <c r="G296" s="58" t="n"/>
      <c r="H296" s="59" t="n"/>
      <c r="I296" s="61" t="n"/>
    </row>
    <row r="297" ht="18" customHeight="1">
      <c r="A297" s="157">
        <f>IF(B297&lt;&gt;"","MTO-"&amp;TEXT(ROW()-3,"000"),"")</f>
        <v/>
      </c>
      <c r="B297" s="68" t="n"/>
      <c r="C297" s="71" t="n"/>
      <c r="D297" s="71" t="n"/>
      <c r="E297" s="160" t="n"/>
      <c r="F297" s="50" t="n"/>
      <c r="G297" s="70" t="n"/>
      <c r="H297" s="71" t="n"/>
      <c r="I297" s="73" t="n"/>
    </row>
    <row r="298" ht="18" customHeight="1">
      <c r="A298" s="157">
        <f>IF(B298&lt;&gt;"","MTO-"&amp;TEXT(ROW()-3,"000"),"")</f>
        <v/>
      </c>
      <c r="B298" s="56" t="n"/>
      <c r="C298" s="59" t="n"/>
      <c r="D298" s="59" t="n"/>
      <c r="E298" s="158" t="n"/>
      <c r="F298" s="50" t="n"/>
      <c r="G298" s="58" t="n"/>
      <c r="H298" s="59" t="n"/>
      <c r="I298" s="61" t="n"/>
    </row>
    <row r="299" ht="18" customHeight="1">
      <c r="A299" s="157">
        <f>IF(B299&lt;&gt;"","MTO-"&amp;TEXT(ROW()-3,"000"),"")</f>
        <v/>
      </c>
      <c r="B299" s="68" t="n"/>
      <c r="C299" s="71" t="n"/>
      <c r="D299" s="71" t="n"/>
      <c r="E299" s="160" t="n"/>
      <c r="F299" s="50" t="n"/>
      <c r="G299" s="70" t="n"/>
      <c r="H299" s="71" t="n"/>
      <c r="I299" s="73" t="n"/>
    </row>
    <row r="300" ht="18" customHeight="1">
      <c r="A300" s="157">
        <f>IF(B300&lt;&gt;"","MTO-"&amp;TEXT(ROW()-3,"000"),"")</f>
        <v/>
      </c>
      <c r="B300" s="56" t="n"/>
      <c r="C300" s="59" t="n"/>
      <c r="D300" s="59" t="n"/>
      <c r="E300" s="158" t="n"/>
      <c r="F300" s="50" t="n"/>
      <c r="G300" s="58" t="n"/>
      <c r="H300" s="59" t="n"/>
      <c r="I300" s="61" t="n"/>
    </row>
    <row r="301" ht="18" customHeight="1">
      <c r="A301" s="157">
        <f>IF(B301&lt;&gt;"","MTO-"&amp;TEXT(ROW()-3,"000"),"")</f>
        <v/>
      </c>
      <c r="B301" s="68" t="n"/>
      <c r="C301" s="71" t="n"/>
      <c r="D301" s="71" t="n"/>
      <c r="E301" s="160" t="n"/>
      <c r="F301" s="50" t="n"/>
      <c r="G301" s="70" t="n"/>
      <c r="H301" s="71" t="n"/>
      <c r="I301" s="73" t="n"/>
    </row>
    <row r="302" ht="18" customHeight="1">
      <c r="A302" s="157">
        <f>IF(B302&lt;&gt;"","MTO-"&amp;TEXT(ROW()-3,"000"),"")</f>
        <v/>
      </c>
      <c r="B302" s="56" t="n"/>
      <c r="C302" s="59" t="n"/>
      <c r="D302" s="59" t="n"/>
      <c r="E302" s="158" t="n"/>
      <c r="F302" s="50" t="n"/>
      <c r="G302" s="58" t="n"/>
      <c r="H302" s="59" t="n"/>
      <c r="I302" s="61" t="n"/>
    </row>
    <row r="303" ht="18" customHeight="1">
      <c r="A303" s="157">
        <f>IF(B303&lt;&gt;"","MTO-"&amp;TEXT(ROW()-3,"000"),"")</f>
        <v/>
      </c>
      <c r="B303" s="68" t="n"/>
      <c r="C303" s="71" t="n"/>
      <c r="D303" s="71" t="n"/>
      <c r="E303" s="160" t="n"/>
      <c r="F303" s="50" t="n"/>
      <c r="G303" s="70" t="n"/>
      <c r="H303" s="71" t="n"/>
      <c r="I303" s="73" t="n"/>
    </row>
  </sheetData>
  <mergeCells count="3">
    <mergeCell ref="A1:I1"/>
    <mergeCell ref="A2:I2"/>
    <mergeCell ref="K3:L3"/>
  </mergeCells>
  <dataValidations count="2">
    <dataValidation sqref="C4:C303" showDropDown="0" showInputMessage="0" showErrorMessage="0" allowBlank="1" type="list">
      <formula1>"Pick Up,1.5 Cerrada,2.5,3.5"</formula1>
    </dataValidation>
    <dataValidation sqref="D4:D303" showDropDown="0" showInputMessage="0" showErrorMessage="0" allowBlank="1" type="list">
      <formula1>"Cambio aceite,Cambio llantas,Frenos,Afinación,Batería,Verificación,Suspensión,Transmisión,Motor,Carrocería,Eléctrico,Preventivo,Otro"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40" customWidth="1" min="3" max="3"/>
  </cols>
  <sheetData>
    <row r="1" ht="40" customHeight="1">
      <c r="A1" s="51" t="inlineStr">
        <is>
          <t>MUDANZAS METEPEC — GUÍA DE USO DEL SISTEMA</t>
        </is>
      </c>
    </row>
    <row r="2" ht="22" customHeight="1">
      <c r="A2" s="162" t="n"/>
      <c r="B2" s="134" t="inlineStr"/>
    </row>
    <row r="3" ht="28" customHeight="1">
      <c r="A3" s="163" t="n"/>
      <c r="B3" s="164" t="inlineStr">
        <is>
          <t>FLUJO DE TRABAJO DIARIO:</t>
        </is>
      </c>
    </row>
    <row r="4" ht="22" customHeight="1">
      <c r="A4" s="162" t="n"/>
      <c r="B4" s="134" t="inlineStr">
        <is>
          <t>1. AGENDA → Registra cada servicio desde WhatsApp. El folio se genera solo.</t>
        </is>
      </c>
    </row>
    <row r="5" ht="22" customHeight="1">
      <c r="A5" s="162" t="n"/>
      <c r="B5" s="139" t="inlineStr">
        <is>
          <t>2. AGENDA → Llena: cliente, fecha, hora, tipo, origen, destino, unidad, precio cotizado, anticipo.</t>
        </is>
      </c>
    </row>
    <row r="6" ht="22" customHeight="1">
      <c r="A6" s="162" t="n"/>
      <c r="B6" s="134" t="inlineStr">
        <is>
          <t>3. AGENDA → Cambia el Estado conforme avanza: Pendiente → Confirmado → En proceso → Terminado.</t>
        </is>
      </c>
    </row>
    <row r="7" ht="22" customHeight="1">
      <c r="A7" s="162" t="n"/>
      <c r="B7" s="139" t="inlineStr">
        <is>
          <t>4. AGENDA → Llena las columnas nuevas: Prioridad, Fuente, Tipo cliente, Horas, Fotos/Videos.</t>
        </is>
      </c>
    </row>
    <row r="8" ht="22" customHeight="1">
      <c r="A8" s="162" t="n"/>
      <c r="B8" s="134" t="inlineStr">
        <is>
          <t>5. COSTOS → Copia el Folio de la Agenda. El cliente y la unidad se llenan solos.</t>
        </is>
      </c>
    </row>
    <row r="9" ht="22" customHeight="1">
      <c r="A9" s="162" t="n"/>
      <c r="B9" s="139" t="inlineStr">
        <is>
          <t>6. COSTOS → Llena kilómetros reales, chofer, ayudantes, maniobras, casetas, comidas, etc.</t>
        </is>
      </c>
    </row>
    <row r="10" ht="22" customHeight="1">
      <c r="A10" s="162" t="n"/>
      <c r="B10" s="134" t="inlineStr">
        <is>
          <t>7. FLUJO → Registra cada entrada de dinero (anticipo, saldo) y cada gasto del día.</t>
        </is>
      </c>
    </row>
    <row r="11" ht="22" customHeight="1">
      <c r="A11" s="162" t="n"/>
      <c r="B11" s="139" t="inlineStr">
        <is>
          <t>8. MANTENIMIENTO → Cada vez que hagas mantenimiento a una unidad, regístralo aquí.</t>
        </is>
      </c>
    </row>
    <row r="12" ht="22" customHeight="1">
      <c r="A12" s="162" t="n"/>
      <c r="B12" s="134" t="inlineStr">
        <is>
          <t>9. UNIDADES → Actualiza el Kilometraje actual de cada unidad al menos una vez por semana.</t>
        </is>
      </c>
    </row>
    <row r="13" ht="22" customHeight="1">
      <c r="A13" s="162" t="n"/>
      <c r="B13" s="139" t="inlineStr">
        <is>
          <t>10. CLIENTES → Registra cada contacto nuevo. Llena si cerró, fuente y seguimiento.</t>
        </is>
      </c>
    </row>
    <row r="14" ht="22" customHeight="1">
      <c r="A14" s="162" t="n"/>
      <c r="B14" s="134" t="inlineStr">
        <is>
          <t>11. DASHBOARD → Revisa cada mañana el estado del negocio en 30 segundos.</t>
        </is>
      </c>
    </row>
    <row r="15" ht="22" customHeight="1">
      <c r="A15" s="162" t="n"/>
      <c r="B15" s="134" t="inlineStr"/>
    </row>
    <row r="16" ht="28" customHeight="1">
      <c r="A16" s="163" t="n"/>
      <c r="B16" s="164" t="inlineStr">
        <is>
          <t>COLUMNAS NUEVAS EN AGENDA (cols 23-37):</t>
        </is>
      </c>
    </row>
    <row r="17" ht="22" customHeight="1">
      <c r="A17" s="162" t="n"/>
      <c r="B17" s="134" t="inlineStr">
        <is>
          <t>Prioridad: Alta (urgente) / Media / Baja — colorea la fila automáticamente.</t>
        </is>
      </c>
    </row>
    <row r="18" ht="22" customHeight="1">
      <c r="A18" s="162" t="n"/>
      <c r="B18" s="139" t="inlineStr">
        <is>
          <t>Horas Salida/Llegada/Término — el Tiempo Real se calcula solo.</t>
        </is>
      </c>
    </row>
    <row r="19" ht="22" customHeight="1">
      <c r="A19" s="162" t="n"/>
      <c r="B19" s="134" t="inlineStr">
        <is>
          <t>Fotos, Videos, Reseña, Permiso publicar — control de contenido digital.</t>
        </is>
      </c>
    </row>
    <row r="20" ht="22" customHeight="1">
      <c r="A20" s="162" t="n"/>
      <c r="B20" s="139" t="inlineStr">
        <is>
          <t>Fuente del cliente — de dónde llegó: Facebook, TikTok, Google, Recomendación…</t>
        </is>
      </c>
    </row>
    <row r="21" ht="22" customHeight="1">
      <c r="A21" s="162" t="n"/>
      <c r="B21" s="134" t="inlineStr">
        <is>
          <t>Tipo de cliente: Particular, Empresa, Recurrente, VIP</t>
        </is>
      </c>
    </row>
    <row r="22" ht="22" customHeight="1">
      <c r="A22" s="162" t="n"/>
      <c r="B22" s="134" t="inlineStr"/>
    </row>
    <row r="23" ht="28" customHeight="1">
      <c r="A23" s="163" t="n"/>
      <c r="B23" s="164" t="inlineStr">
        <is>
          <t>EXPEDIENTE DE UNIDADES (hoja Unidades):</t>
        </is>
      </c>
    </row>
    <row r="24" ht="22" customHeight="1">
      <c r="A24" s="162" t="n"/>
      <c r="B24" s="134" t="inlineStr">
        <is>
          <t>Llena los datos técnicos de cada camioneta UNA SOLA VEZ.</t>
        </is>
      </c>
    </row>
    <row r="25" ht="22" customHeight="1">
      <c r="A25" s="162" t="n"/>
      <c r="B25" s="139" t="inlineStr">
        <is>
          <t>El % de vida útil y KM restantes se calculan solos.</t>
        </is>
      </c>
    </row>
    <row r="26" ht="22" customHeight="1">
      <c r="A26" s="162" t="n"/>
      <c r="B26" s="134" t="inlineStr">
        <is>
          <t>Actualiza solo el Kilometraje actual cada semana.</t>
        </is>
      </c>
    </row>
    <row r="27" ht="22" customHeight="1">
      <c r="A27" s="162" t="n"/>
      <c r="B27" s="139" t="inlineStr">
        <is>
          <t>Las fechas de seguro, verificación y tenencia generan alertas automáticas.</t>
        </is>
      </c>
    </row>
    <row r="28" ht="22" customHeight="1">
      <c r="A28" s="162" t="n"/>
      <c r="B28" s="134" t="inlineStr"/>
    </row>
    <row r="29" ht="28" customHeight="1">
      <c r="A29" s="163" t="n"/>
      <c r="B29" s="140" t="inlineStr">
        <is>
          <t>MANTENIMIENTO:</t>
        </is>
      </c>
    </row>
    <row r="30" ht="22" customHeight="1">
      <c r="A30" s="162" t="n"/>
      <c r="B30" s="165" t="inlineStr">
        <is>
          <t>Registra CADA mantenimiento: fecha, tipo, costo, km y proveedor.</t>
        </is>
      </c>
    </row>
    <row r="31" ht="22" customHeight="1">
      <c r="A31" s="162" t="n"/>
      <c r="B31" s="165" t="inlineStr">
        <is>
          <t>El resumen por unidad y por tipo se calcula automáticamente.</t>
        </is>
      </c>
    </row>
    <row r="32" ht="22" customHeight="1">
      <c r="A32" s="162" t="n"/>
      <c r="B32" s="165" t="inlineStr">
        <is>
          <t>Este costo aparece en el Dashboard como Utilidad Neta (Utilidad - Costo MTO).</t>
        </is>
      </c>
    </row>
    <row r="33" ht="22" customHeight="1">
      <c r="A33" s="162" t="n"/>
      <c r="B33" s="134" t="inlineStr"/>
    </row>
    <row r="34" ht="28" customHeight="1">
      <c r="A34" s="163" t="n"/>
      <c r="B34" s="164" t="inlineStr">
        <is>
          <t>METAS MENSUALES:</t>
        </is>
      </c>
    </row>
    <row r="35" ht="22" customHeight="1">
      <c r="A35" s="162" t="n"/>
      <c r="B35" s="166" t="inlineStr">
        <is>
          <t>Pick Up: $24,250 | 1.5 Cerrada: $28,450 | 2.5: $31,250 | 3.5: $15,250</t>
        </is>
      </c>
    </row>
    <row r="36" ht="22" customHeight="1">
      <c r="A36" s="162" t="n"/>
      <c r="B36" s="166" t="inlineStr">
        <is>
          <t>Total flota: $99,200 (igual que gastos fijos — ahí empieza la utilidad)</t>
        </is>
      </c>
    </row>
    <row r="37" ht="22" customHeight="1">
      <c r="A37" s="162" t="n"/>
      <c r="B37" s="134" t="inlineStr"/>
    </row>
    <row r="38" ht="28" customHeight="1">
      <c r="A38" s="163" t="n"/>
      <c r="B38" s="164" t="inlineStr">
        <is>
          <t>METAS SEMANALES:</t>
        </is>
      </c>
    </row>
    <row r="39" ht="22" customHeight="1">
      <c r="A39" s="162" t="n"/>
      <c r="B39" s="167" t="inlineStr">
        <is>
          <t>Pick Up: $5,600 | 1.5 Cerrada: $6,570 | 2.5: $7,220 | 3.5: $3,520</t>
        </is>
      </c>
    </row>
    <row r="40" ht="22" customHeight="1">
      <c r="A40" s="162" t="n"/>
      <c r="B40" s="134" t="inlineStr"/>
    </row>
    <row r="41" ht="28" customHeight="1">
      <c r="A41" s="163" t="n"/>
      <c r="B41" s="164" t="inlineStr">
        <is>
          <t>COSTO POR KM (automático en Costos):</t>
        </is>
      </c>
    </row>
    <row r="42" ht="22" customHeight="1">
      <c r="A42" s="162" t="n"/>
      <c r="B42" s="139" t="inlineStr">
        <is>
          <t>Pick Up: $7/km  |  1.5 Cerrada: $9/km  |  2.5: $10/km  |  3.5: $12/km</t>
        </is>
      </c>
    </row>
    <row r="43" ht="22" customHeight="1">
      <c r="A43" s="162" t="n"/>
      <c r="B43" s="134" t="inlineStr"/>
    </row>
    <row r="44" ht="28" customHeight="1">
      <c r="A44" s="163" t="n"/>
      <c r="B44" s="140" t="inlineStr">
        <is>
          <t>TIPS IMPORTANTES:</t>
        </is>
      </c>
    </row>
    <row r="45" ht="22" customHeight="1">
      <c r="A45" s="162" t="n"/>
      <c r="B45" s="165" t="inlineStr">
        <is>
          <t>- El folio conecta TODO: Agenda → Costos → Flujo → Mantenimiento.</t>
        </is>
      </c>
    </row>
    <row r="46" ht="22" customHeight="1">
      <c r="A46" s="162" t="n"/>
      <c r="B46" s="165" t="inlineStr">
        <is>
          <t>- Usa siempre los dropdowns — los cálculos dependen del texto exacto.</t>
        </is>
      </c>
    </row>
    <row r="47" ht="22" customHeight="1">
      <c r="A47" s="162" t="n"/>
      <c r="B47" s="165" t="inlineStr">
        <is>
          <t>- Agrega el anticipo el mismo día que lo recibes en Flujo.</t>
        </is>
      </c>
    </row>
    <row r="48" ht="22" customHeight="1">
      <c r="A48" s="162" t="n"/>
      <c r="B48" s="165" t="inlineStr">
        <is>
          <t>- El Dashboard muestra Utilidad Neta = Utilidad operativa − Costos de mantenimiento.</t>
        </is>
      </c>
    </row>
    <row r="49" ht="22" customHeight="1">
      <c r="A49" s="162" t="n"/>
      <c r="B49" s="134" t="inlineStr"/>
    </row>
    <row r="50" ht="28" customHeight="1">
      <c r="A50" s="163" t="n"/>
      <c r="B50" s="168" t="inlineStr">
        <is>
          <t>GASTOS FIJOS MENSUALES TOTALES: $99,200</t>
        </is>
      </c>
    </row>
    <row r="51" ht="22" customHeight="1">
      <c r="A51" s="162" t="n"/>
      <c r="B51" s="167" t="inlineStr">
        <is>
          <t>Todo lo que supere $99,200 en ventas es utilidad real del negocio.</t>
        </is>
      </c>
    </row>
  </sheetData>
  <mergeCells count="51">
    <mergeCell ref="B47:C47"/>
    <mergeCell ref="B16:C16"/>
    <mergeCell ref="B7:C7"/>
    <mergeCell ref="B25:C25"/>
    <mergeCell ref="B3:C3"/>
    <mergeCell ref="B46:C46"/>
    <mergeCell ref="B22:C22"/>
    <mergeCell ref="B31:C31"/>
    <mergeCell ref="B18:C18"/>
    <mergeCell ref="B27:C27"/>
    <mergeCell ref="B43:C43"/>
    <mergeCell ref="B12:C12"/>
    <mergeCell ref="B39:C39"/>
    <mergeCell ref="B21:C21"/>
    <mergeCell ref="B2:C2"/>
    <mergeCell ref="B48:C48"/>
    <mergeCell ref="B11:C11"/>
    <mergeCell ref="B42:C42"/>
    <mergeCell ref="B23:C23"/>
    <mergeCell ref="B14:C14"/>
    <mergeCell ref="B17:C17"/>
    <mergeCell ref="B8:C8"/>
    <mergeCell ref="B13:C13"/>
    <mergeCell ref="B38:C38"/>
    <mergeCell ref="B44:C44"/>
    <mergeCell ref="B29:C29"/>
    <mergeCell ref="B19:C19"/>
    <mergeCell ref="B34:C34"/>
    <mergeCell ref="B37:C37"/>
    <mergeCell ref="B10:C10"/>
    <mergeCell ref="B28:C28"/>
    <mergeCell ref="B40:C40"/>
    <mergeCell ref="B9:C9"/>
    <mergeCell ref="B49:C49"/>
    <mergeCell ref="B6:C6"/>
    <mergeCell ref="B24:C24"/>
    <mergeCell ref="B30:C30"/>
    <mergeCell ref="B15:C15"/>
    <mergeCell ref="B33:C33"/>
    <mergeCell ref="A1:C1"/>
    <mergeCell ref="B5:C5"/>
    <mergeCell ref="B20:C20"/>
    <mergeCell ref="B51:C51"/>
    <mergeCell ref="B45:C45"/>
    <mergeCell ref="B36:C36"/>
    <mergeCell ref="B32:C32"/>
    <mergeCell ref="B50:C50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2026-06-30T21:42:30Z</dcterms:created>
  <dcterms:modified xsi:type="dcterms:W3CDTF">2026-06-30T21:42:33Z</dcterms:modified>
</cp:coreProperties>
</file>